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drawings/drawing11.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5.xml" ContentType="application/vnd.openxmlformats-officedocument.spreadsheetml.table+xml"/>
  <Override PartName="/xl/drawings/drawing2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4.xml" ContentType="application/vnd.openxmlformats-officedocument.drawing+xml"/>
  <Override PartName="/xl/tables/table6.xml" ContentType="application/vnd.openxmlformats-officedocument.spreadsheetml.tab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6.xml" ContentType="application/vnd.openxmlformats-officedocument.drawing+xml"/>
  <Override PartName="/xl/tables/table7.xml" ContentType="application/vnd.openxmlformats-officedocument.spreadsheetml.tab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9.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0.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1.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Ragha\OneDrive\Documents\The Project File\"/>
    </mc:Choice>
  </mc:AlternateContent>
  <xr:revisionPtr revIDLastSave="0" documentId="8_{C0EB543A-FC3F-42D8-A1A3-847315A2B499}" xr6:coauthVersionLast="47" xr6:coauthVersionMax="47" xr10:uidLastSave="{00000000-0000-0000-0000-000000000000}"/>
  <bookViews>
    <workbookView xWindow="-108" yWindow="-108" windowWidth="23256" windowHeight="13896" tabRatio="775" firstSheet="23" activeTab="28" xr2:uid="{BEF59297-16D5-46D1-BAB8-7FD109F53F9D}"/>
  </bookViews>
  <sheets>
    <sheet name="Main Menu" sheetId="1" r:id="rId1"/>
    <sheet name="1.1" sheetId="62" r:id="rId2"/>
    <sheet name="Tourism Employment" sheetId="82" r:id="rId3"/>
    <sheet name="1.2" sheetId="63" r:id="rId4"/>
    <sheet name="1.3" sheetId="59" r:id="rId5"/>
    <sheet name="Room Occupancy Rates" sheetId="83" r:id="rId6"/>
    <sheet name="1.4" sheetId="60" r:id="rId7"/>
    <sheet name="1.5" sheetId="61" r:id="rId8"/>
    <sheet name="2.1" sheetId="64" r:id="rId9"/>
    <sheet name="2.2" sheetId="65" r:id="rId10"/>
    <sheet name="2.3" sheetId="66" r:id="rId11"/>
    <sheet name="Employee by Activity" sheetId="90" r:id="rId12"/>
    <sheet name="2.5" sheetId="68" r:id="rId13"/>
    <sheet name="2.4" sheetId="67" r:id="rId14"/>
    <sheet name="2.6" sheetId="69" r:id="rId15"/>
    <sheet name="2.7" sheetId="70" r:id="rId16"/>
    <sheet name="2.8" sheetId="71" r:id="rId17"/>
    <sheet name="2.9" sheetId="72" r:id="rId18"/>
    <sheet name="2.10" sheetId="73" r:id="rId19"/>
    <sheet name="2.11" sheetId="74" r:id="rId20"/>
    <sheet name="2.12" sheetId="75" r:id="rId21"/>
    <sheet name="3.1" sheetId="80" r:id="rId22"/>
    <sheet name=" Tourism Establishments -2024" sheetId="81" r:id="rId23"/>
    <sheet name="3.2" sheetId="54" r:id="rId24"/>
    <sheet name="3.3" sheetId="28" r:id="rId25"/>
    <sheet name="3.4" sheetId="29" r:id="rId26"/>
    <sheet name="Apartment Prices by Region" sheetId="88" r:id="rId27"/>
    <sheet name="3.5" sheetId="55" r:id="rId28"/>
    <sheet name="Hotel Prices by Region" sheetId="87" r:id="rId29"/>
    <sheet name="3.6" sheetId="30" r:id="rId30"/>
    <sheet name="3.7" sheetId="56" r:id="rId31"/>
    <sheet name="3.8" sheetId="76" r:id="rId32"/>
    <sheet name="3.9" sheetId="77" r:id="rId33"/>
    <sheet name="3.10" sheetId="78" r:id="rId34"/>
  </sheets>
  <definedNames>
    <definedName name="_xlnm.Print_Area" localSheetId="1">'1.1'!$A$1:$J$9</definedName>
    <definedName name="_xlnm.Print_Area" localSheetId="3">'1.2'!$A$1:$J$12</definedName>
    <definedName name="_xlnm.Print_Area" localSheetId="8">'2.1'!$A$1:$F$18</definedName>
    <definedName name="_xlnm.Print_Area" localSheetId="18">'2.10'!$A$1:$E$20</definedName>
    <definedName name="_xlnm.Print_Area" localSheetId="19">'2.11'!$A$1:$E$20</definedName>
    <definedName name="_xlnm.Print_Area" localSheetId="20">'2.12'!$A$1:$E$20</definedName>
    <definedName name="_xlnm.Print_Area" localSheetId="9">'2.2'!$A$1:$F$18</definedName>
    <definedName name="_xlnm.Print_Area" localSheetId="10">'2.3'!$A$1:$F$18</definedName>
    <definedName name="_xlnm.Print_Area" localSheetId="13">'2.4'!$A$1:$F$19</definedName>
    <definedName name="_xlnm.Print_Area" localSheetId="12">'2.5'!$A$1:$F$19</definedName>
    <definedName name="_xlnm.Print_Area" localSheetId="14">'2.6'!$A$1:$F$19</definedName>
    <definedName name="_xlnm.Print_Area" localSheetId="15">'2.7'!$A$1:$E$19</definedName>
    <definedName name="_xlnm.Print_Area" localSheetId="16">'2.8'!$A$1:$E$19</definedName>
    <definedName name="_xlnm.Print_Area" localSheetId="17">'2.9'!$A$1:$E$19</definedName>
    <definedName name="_xlnm.Print_Area" localSheetId="21">'3.1'!$A$1:$D$10</definedName>
    <definedName name="_xlnm.Print_Area" localSheetId="33">'3.10'!$A$1:$E$13</definedName>
    <definedName name="_xlnm.Print_Area" localSheetId="23">'3.2'!$A$1:$F$18</definedName>
    <definedName name="_xlnm.Print_Area" localSheetId="24">'3.3'!$A$1:$F$18</definedName>
    <definedName name="_xlnm.Print_Area" localSheetId="25">'3.4'!$A$1:$F$18</definedName>
    <definedName name="_xlnm.Print_Area" localSheetId="27">'3.5'!$A$1:$F$18</definedName>
    <definedName name="_xlnm.Print_Area" localSheetId="29">'3.6'!$A$1:$F$18</definedName>
    <definedName name="_xlnm.Print_Area" localSheetId="30">'3.7'!$A$1:$F$18</definedName>
    <definedName name="_xlnm.Print_Area" localSheetId="31">'3.8'!$A$1:$E$13</definedName>
    <definedName name="_xlnm.Print_Area" localSheetId="32">'3.9'!$A$1:$E$13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81" l="1"/>
  <c r="E4" i="81"/>
  <c r="E5" i="81"/>
  <c r="E2" i="81"/>
  <c r="D4" i="81"/>
  <c r="D3" i="90"/>
  <c r="D4" i="90"/>
  <c r="D5" i="90"/>
  <c r="D6" i="90"/>
  <c r="D7" i="90"/>
  <c r="D8" i="90"/>
  <c r="D9" i="90"/>
  <c r="D10" i="90"/>
  <c r="D11" i="90"/>
  <c r="D12" i="90"/>
  <c r="D13" i="90"/>
  <c r="D2" i="90"/>
  <c r="A3" i="82"/>
  <c r="A4" i="82"/>
  <c r="A5" i="82"/>
  <c r="A6" i="82"/>
  <c r="A7" i="82"/>
  <c r="A8" i="82"/>
  <c r="A9" i="82"/>
  <c r="A2" i="82"/>
  <c r="D5" i="81"/>
  <c r="D3" i="81"/>
  <c r="D2" i="81"/>
  <c r="D8" i="80"/>
  <c r="D7" i="80"/>
  <c r="D6" i="80"/>
  <c r="D5" i="80"/>
  <c r="E8" i="78"/>
</calcChain>
</file>

<file path=xl/sharedStrings.xml><?xml version="1.0" encoding="utf-8"?>
<sst xmlns="http://schemas.openxmlformats.org/spreadsheetml/2006/main" count="681" uniqueCount="173">
  <si>
    <t>Table</t>
  </si>
  <si>
    <t>Table Number</t>
  </si>
  <si>
    <t>Key indicators</t>
  </si>
  <si>
    <t>Key indicators of employees in tourism activities</t>
  </si>
  <si>
    <t xml:space="preserve">Contribution of employees in tourism activities to total employees </t>
  </si>
  <si>
    <t>Room occupancy rate in tourist hospitality facilities</t>
  </si>
  <si>
    <t>Average daily rate for a room in tourist hospitality facilities</t>
  </si>
  <si>
    <t>Average length of stay for guests in tourist hospitality facilities</t>
  </si>
  <si>
    <t xml:space="preserve">Indicators of employees in tourism activities </t>
  </si>
  <si>
    <t xml:space="preserve">Performance indicators in tourist hospitality facilities </t>
  </si>
  <si>
    <t>Table 1.1</t>
  </si>
  <si>
    <t>Indicator</t>
  </si>
  <si>
    <t>Q1 of 2023</t>
  </si>
  <si>
    <t>Q2 of 2023</t>
  </si>
  <si>
    <t>Q3 of 2023</t>
  </si>
  <si>
    <t>Q4 of 2023</t>
  </si>
  <si>
    <t>Q1 of 2024</t>
  </si>
  <si>
    <t>Q2 of 2024</t>
  </si>
  <si>
    <t>Q3 of 2024</t>
  </si>
  <si>
    <t>Q4 of 2024</t>
  </si>
  <si>
    <t>Total number of employees in tourism activities</t>
  </si>
  <si>
    <t>Total number of Saudi employees in tourism activities</t>
  </si>
  <si>
    <t>Total number of non-Saudi employees in tourism activities</t>
  </si>
  <si>
    <t>The percentage of female employees from the total number of employees in tourism activities</t>
  </si>
  <si>
    <t>Back to the main menu</t>
  </si>
  <si>
    <t xml:space="preserve">Contribution of employees in tourism activities to the total number of employees </t>
  </si>
  <si>
    <t>Table (1.2)</t>
  </si>
  <si>
    <t>Contribution of employees in tourism activities to total employees in the economy</t>
  </si>
  <si>
    <t>Contribution of employees in tourism activities to the total employees in the private sector.</t>
  </si>
  <si>
    <t>Contribution of Saudi employees in tourism activities to the total number of Saudi employees in the private sector</t>
  </si>
  <si>
    <t>Contribution of non-Saudi employees in tourism activities to the total number of non-Saudi employees in the private sector</t>
  </si>
  <si>
    <t>*The total number of employees in the economy includes all employees registered with the General Organization for Social Insurance, the Civil Service, and domestic workers.</t>
  </si>
  <si>
    <t>Table (1.3)</t>
  </si>
  <si>
    <t xml:space="preserve">Room occupancy rate in serviced apartments and other hospitality facilities </t>
  </si>
  <si>
    <t>Room occupancy rate in hotels</t>
  </si>
  <si>
    <t>Table (1.4)</t>
  </si>
  <si>
    <t xml:space="preserve"> SAR</t>
  </si>
  <si>
    <t xml:space="preserve">The average daily rate for a room in serviced apartments and other hospitality facilities </t>
  </si>
  <si>
    <t>Average daily rate for a room in hotels</t>
  </si>
  <si>
    <t>Table (1.5)</t>
  </si>
  <si>
    <t>One night</t>
  </si>
  <si>
    <t xml:space="preserve">Average length of stay in serviced apartments and other hospitality facilities </t>
  </si>
  <si>
    <t>Average length of stay in hotels</t>
  </si>
  <si>
    <t>Number of Saudi employees in tourism activities by gender and activity in Q4 of 2024</t>
  </si>
  <si>
    <t>Table (2.1)</t>
  </si>
  <si>
    <t>Tourism activity</t>
  </si>
  <si>
    <t>Males</t>
  </si>
  <si>
    <t>Females</t>
  </si>
  <si>
    <t>Total</t>
  </si>
  <si>
    <t xml:space="preserve">Saudi participation by activity </t>
  </si>
  <si>
    <t>Accommodation for visitors</t>
  </si>
  <si>
    <t>Food and beverage serving activities</t>
  </si>
  <si>
    <t>Railway passenger transport</t>
  </si>
  <si>
    <t>Road passenger transport</t>
  </si>
  <si>
    <t>Water passenger transport</t>
  </si>
  <si>
    <t>Air passenger transport</t>
  </si>
  <si>
    <t>Transport equipment rental</t>
  </si>
  <si>
    <t>Travel agencies and other reservation services activities</t>
  </si>
  <si>
    <t>Cultural activities</t>
  </si>
  <si>
    <t>Sports and recreational activities</t>
  </si>
  <si>
    <t>Other tourism characteristic services in the country</t>
  </si>
  <si>
    <t>Retail trade of tourism characteristic goods in the country</t>
  </si>
  <si>
    <t>Number of non-Saudi employees in tourism activities by gender and activity in Q4 of 2024</t>
  </si>
  <si>
    <t>Table (2.2)</t>
  </si>
  <si>
    <t>The participation of non-Saudis by activity</t>
  </si>
  <si>
    <t>Total number of employees in tourism activities by gender and activity in Q4 of 2024</t>
  </si>
  <si>
    <t>Table (2.3)</t>
  </si>
  <si>
    <t xml:space="preserve">Males </t>
  </si>
  <si>
    <t>The activity's share of the total</t>
  </si>
  <si>
    <t>Number of Saudi employees in tourism activities by gender and administrative regions for Q4 2024</t>
  </si>
  <si>
    <t>Table (2.4)</t>
  </si>
  <si>
    <t>Administrative regions</t>
  </si>
  <si>
    <t>Participation of Saudis by administrative regions</t>
  </si>
  <si>
    <t>Riyadh Region</t>
  </si>
  <si>
    <t>Makkah Region</t>
  </si>
  <si>
    <t>Eastern Region</t>
  </si>
  <si>
    <t>Madinah Region</t>
  </si>
  <si>
    <t>Aseer Region</t>
  </si>
  <si>
    <t>Jazan Region</t>
  </si>
  <si>
    <t>Qassim Region</t>
  </si>
  <si>
    <t>Tabuk Region</t>
  </si>
  <si>
    <t>Hail Region</t>
  </si>
  <si>
    <t>Al-Jouf Region</t>
  </si>
  <si>
    <t>Najran Region</t>
  </si>
  <si>
    <t>Northern Borders Region</t>
  </si>
  <si>
    <t>Al-Baha Region</t>
  </si>
  <si>
    <t>Number of non-Saudi employees in tourism activities by gender and administrative regions in Q4 of 2024</t>
  </si>
  <si>
    <t>Table (2.5)</t>
  </si>
  <si>
    <t>The participation of non-Saudis by administrative regions</t>
  </si>
  <si>
    <t>Total number of employees in tourism activities by gender and administrative regions in Q4 of 2024</t>
  </si>
  <si>
    <t>Table (2.6)</t>
  </si>
  <si>
    <t>Participation of administrative regions in the total</t>
  </si>
  <si>
    <t>Table (3.1)</t>
  </si>
  <si>
    <t>October</t>
  </si>
  <si>
    <t>November</t>
  </si>
  <si>
    <t>December</t>
  </si>
  <si>
    <t>Quarterly average</t>
  </si>
  <si>
    <t>Room occupancy rate in hotels by administrative regions and month in Q4 of 2024</t>
  </si>
  <si>
    <t>Table (3.2)</t>
  </si>
  <si>
    <t>Average daily room rate in serviced apartments and other hospitality facilities by administrative regions and month in Q4 of 2024</t>
  </si>
  <si>
    <t>Table (3.3)</t>
  </si>
  <si>
    <t>Average daily room rate in hotels by administrative regions and month in Q4 of 2024</t>
  </si>
  <si>
    <t>Table (3.4)</t>
  </si>
  <si>
    <t>Table (3.5)</t>
  </si>
  <si>
    <t>Average length of stay in hotels by administrative regions and month in Q4 of 2024</t>
  </si>
  <si>
    <t>Table (3.6)</t>
  </si>
  <si>
    <t>Tourism Establishments Statistics Q4 of 2024</t>
  </si>
  <si>
    <t>Room occupancy rate in serviced apartments and other hospitality facilities by administrative region and month in Q4 of 2024</t>
  </si>
  <si>
    <t>Average length of stay in serviced apartments and other hospitality facilities by administrative regions and month in Q4 of 2024</t>
  </si>
  <si>
    <t>Source: The Ministry of Human Resources and Social Development, along with the preliminary estimates from the tourism establishments survey for 2023.</t>
  </si>
  <si>
    <t>Table (2.7)</t>
  </si>
  <si>
    <t>Q3, 2023</t>
  </si>
  <si>
    <t>Q3, 2024</t>
  </si>
  <si>
    <t>Change rate</t>
  </si>
  <si>
    <t>Source: Ministry of human resources and social development, in addition to preliminary estimates from tourism establishments survey for 2023.</t>
  </si>
  <si>
    <t>Back to main menu</t>
  </si>
  <si>
    <t>Table (2.8)</t>
  </si>
  <si>
    <t>Table (2.9)</t>
  </si>
  <si>
    <t>Table (2.10)</t>
  </si>
  <si>
    <t>Administrative region</t>
  </si>
  <si>
    <t xml:space="preserve">Change rate </t>
  </si>
  <si>
    <t>Table (2.11)</t>
  </si>
  <si>
    <t>Table (2.12)</t>
  </si>
  <si>
    <t>Table (3.7)</t>
  </si>
  <si>
    <t>Type of facility</t>
  </si>
  <si>
    <t>Hotels</t>
  </si>
  <si>
    <t xml:space="preserve">Hotels change rate </t>
  </si>
  <si>
    <t>Serviced apartments and other hospitality facilities</t>
  </si>
  <si>
    <t xml:space="preserve">Serviced apartments and other hospitality facilities change rate </t>
  </si>
  <si>
    <t>Table (3.8)</t>
  </si>
  <si>
    <t>Table (3.9)</t>
  </si>
  <si>
    <t>Night</t>
  </si>
  <si>
    <t xml:space="preserve">Change over the fourth quarter of 2023 in number of Saudi employees in tourism activities by activity </t>
  </si>
  <si>
    <t xml:space="preserve">Change over the fourth quarter of 2023 in number of non-Saudi employees in tourism activities by activity </t>
  </si>
  <si>
    <t xml:space="preserve">Change over the fourth quarter of 2023 in total employees in tourism activities by activity </t>
  </si>
  <si>
    <t xml:space="preserve">Change over the fourth quarter of 2023 in number of Saudi employees in tourism activities by region </t>
  </si>
  <si>
    <t>Change over the fourth quarter of 2023 in number of non-Saudi employees in tourism activities by region</t>
  </si>
  <si>
    <t xml:space="preserve">Change over the fourth quarter of 2023 in total employees in tourism activities by region </t>
  </si>
  <si>
    <t>Change over the fourth quarter of 2023 in rooms occupancy rate by month and type of facility</t>
  </si>
  <si>
    <t>Change over the fourth quarter of 2023 in average daily room rate by month and type of facility</t>
  </si>
  <si>
    <t xml:space="preserve">Change over the fourth quarter of 2023 in the average length of stay by month and type of facility </t>
  </si>
  <si>
    <t>Source: The Ministry of Human Resources and Social Development, along with the preliminary estimates from the tourism establishments survey for 2023, compared to the results of the administrative records statistics of the labor market the same period.</t>
  </si>
  <si>
    <t>Q4, 2023</t>
  </si>
  <si>
    <t>Q4, 2024</t>
  </si>
  <si>
    <t>Change over the fourth quarter of 2023 in average room daily rate by month and type of facility</t>
  </si>
  <si>
    <t>Change over the fourth quarter of 2023 in the average length of stay by  month and type of facility</t>
  </si>
  <si>
    <t>Number of Saudi employees in tourism activities by gender and administrative regions for Q4 of 2024</t>
  </si>
  <si>
    <t xml:space="preserve">Change over the fourth quarter of 2023 in number of non-Saudi employees in tourism activities by region </t>
  </si>
  <si>
    <t>Source: Ministry of Tourism - National Tourist Monitoring Platform (preliminary data ).</t>
  </si>
  <si>
    <t>Number of tourist hospitality facilities in Q4 of 2024</t>
  </si>
  <si>
    <t>**Includes government employees in the public sector.</t>
  </si>
  <si>
    <t>Contribution of employees in tourism activities to the total number of employees in the government** and private sectors (excluding domestic workers)</t>
  </si>
  <si>
    <t>The quarter</t>
  </si>
  <si>
    <t>Q1, 2024</t>
  </si>
  <si>
    <t>Q2, 2024</t>
  </si>
  <si>
    <t>Table (3.10)</t>
  </si>
  <si>
    <t>GROWTH%</t>
  </si>
  <si>
    <t xml:space="preserve"> Saudi employees</t>
  </si>
  <si>
    <t>Total number of employees</t>
  </si>
  <si>
    <t>Quarter</t>
  </si>
  <si>
    <t>Saudization%</t>
  </si>
  <si>
    <t xml:space="preserve">  Hotels Occupancy</t>
  </si>
  <si>
    <t xml:space="preserve">  Apartments Occupancy </t>
  </si>
  <si>
    <t xml:space="preserve"> Average Price</t>
  </si>
  <si>
    <t xml:space="preserve">  Hotel Region</t>
  </si>
  <si>
    <t>Administrative Regions</t>
  </si>
  <si>
    <t>Saudi Employees</t>
  </si>
  <si>
    <t>Total Employees</t>
  </si>
  <si>
    <t>Saudization %</t>
  </si>
  <si>
    <t>Tourism Activity</t>
  </si>
  <si>
    <t>Hotel Region</t>
  </si>
  <si>
    <t>Latitude</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</si>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</sst>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00_-;\-* #,##0.00_-;_-* &quot;-&quot;??_-;_-@_-"/>
    <numFmt numFmtId="165" formatCode="0.0%"/>
    <numFmt numFmtId="166" formatCode="#,##0.0"/>
    <numFmt numFmtId="167" formatCode="0.0"/>
    <numFmt numFmtId="168" formatCode="_(* #,##0_);_(* \(#,##0\);_(* &quot;-&quot;??_);_(@_)"/>
  </numFmts>
  <fonts count="30">
    <font>
      <sz val="11"/>
      <color theme="1"/>
      <name val="Calibri"/>
      <family val="2"/>
      <scheme val="minor"/>
    </font>
    <font>
      <b/>
      <sz val="16"/>
      <color theme="1" tint="0.34998626667073579"/>
      <name val="Calibri Light"/>
      <family val="1"/>
      <scheme val="major"/>
    </font>
    <font>
      <sz val="11"/>
      <color theme="1"/>
      <name val="Calibri"/>
      <family val="2"/>
      <scheme val="minor"/>
    </font>
    <font>
      <sz val="10"/>
      <color theme="1"/>
      <name val="Arial"/>
      <family val="2"/>
    </font>
    <font>
      <sz val="10"/>
      <name val="Arial"/>
      <family val="2"/>
    </font>
    <font>
      <sz val="11"/>
      <color theme="1"/>
      <name val="Calibri"/>
      <family val="2"/>
      <charset val="178"/>
      <scheme val="minor"/>
    </font>
    <font>
      <sz val="11"/>
      <color rgb="FF000000"/>
      <name val="Calibri"/>
      <family val="2"/>
      <charset val="178"/>
      <scheme val="minor"/>
    </font>
    <font>
      <u/>
      <sz val="10"/>
      <color theme="10"/>
      <name val="Arial"/>
      <family val="2"/>
    </font>
    <font>
      <sz val="8"/>
      <color theme="1"/>
      <name val="Calibri"/>
      <family val="2"/>
      <scheme val="minor"/>
    </font>
    <font>
      <sz val="9"/>
      <color theme="1"/>
      <name val="Sakkal Majalla"/>
    </font>
    <font>
      <u/>
      <sz val="11"/>
      <color theme="10"/>
      <name val="Calibri"/>
      <family val="2"/>
      <scheme val="minor"/>
    </font>
    <font>
      <u/>
      <sz val="11"/>
      <color theme="10"/>
      <name val="Calibri"/>
      <family val="2"/>
      <charset val="178"/>
      <scheme val="minor"/>
    </font>
    <font>
      <sz val="11"/>
      <color rgb="FF000000"/>
      <name val="Calibri"/>
      <family val="2"/>
      <scheme val="minor"/>
    </font>
    <font>
      <b/>
      <sz val="11"/>
      <color theme="0"/>
      <name val="Calibri"/>
      <family val="2"/>
      <charset val="178"/>
      <scheme val="minor"/>
    </font>
    <font>
      <sz val="11"/>
      <color indexed="8"/>
      <name val="Calibri"/>
      <family val="2"/>
      <scheme val="minor"/>
    </font>
    <font>
      <sz val="22"/>
      <color rgb="FFFF0000"/>
      <name val="Calibri"/>
      <family val="2"/>
      <scheme val="minor"/>
    </font>
    <font>
      <sz val="11"/>
      <color rgb="FFFF0000"/>
      <name val="Calibri"/>
      <family val="2"/>
      <scheme val="minor"/>
    </font>
    <font>
      <b/>
      <sz val="16"/>
      <color rgb="FF44546A"/>
      <name val="Frutiger LT Arabic 55 Roman"/>
    </font>
    <font>
      <sz val="12"/>
      <color theme="0"/>
      <name val="Frutiger LT Arabic 55 Roman"/>
    </font>
    <font>
      <sz val="11"/>
      <color theme="2" tint="-0.749992370372631"/>
      <name val="Frutiger LT Arabic 55 Roman"/>
    </font>
    <font>
      <b/>
      <sz val="12"/>
      <color rgb="FF44546A"/>
      <name val="Frutiger LT Arabic 55 Roman"/>
    </font>
    <font>
      <sz val="8"/>
      <color rgb="FF8C96A7"/>
      <name val="Frutiger LT Arabic 55 Roman"/>
    </font>
    <font>
      <sz val="8"/>
      <color theme="0"/>
      <name val="Frutiger LT Arabic 55 Roman"/>
    </font>
    <font>
      <sz val="8"/>
      <name val="Frutiger LT Arabic 55 Roman"/>
    </font>
    <font>
      <sz val="7"/>
      <color rgb="FF8C96A7"/>
      <name val="Frutiger LT Arabic 55 Roman"/>
    </font>
    <font>
      <u/>
      <sz val="9"/>
      <color rgb="FF0070C0"/>
      <name val="Frutiger LT Arabic 55 Roman"/>
    </font>
    <font>
      <b/>
      <sz val="12"/>
      <color theme="3"/>
      <name val="Frutiger LT Arabic 55 Roman"/>
    </font>
    <font>
      <sz val="11"/>
      <color theme="0"/>
      <name val="Calibri"/>
      <family val="2"/>
      <scheme val="minor"/>
    </font>
    <font>
      <b/>
      <sz val="16"/>
      <color theme="1" tint="0.249977111117893"/>
      <name val="Calibri Light"/>
      <family val="1"/>
      <scheme val="major"/>
    </font>
    <font>
      <b/>
      <sz val="8"/>
      <color theme="0"/>
      <name val="Frutiger LT Arabic 55 Roman"/>
    </font>
  </fonts>
  <fills count="14">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A5A5A5"/>
      </patternFill>
    </fill>
    <fill>
      <patternFill patternType="solid">
        <fgColor rgb="FFFFFFCC"/>
      </patternFill>
    </fill>
    <fill>
      <patternFill patternType="solid">
        <fgColor theme="3"/>
        <bgColor indexed="64"/>
      </patternFill>
    </fill>
    <fill>
      <patternFill patternType="solid">
        <fgColor rgb="FF8497B0"/>
        <bgColor indexed="64"/>
      </patternFill>
    </fill>
    <fill>
      <patternFill patternType="solid">
        <fgColor rgb="FFE8EBF0"/>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5" tint="0.39997558519241921"/>
        <bgColor indexed="64"/>
      </patternFill>
    </fill>
  </fills>
  <borders count="17">
    <border>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theme="0"/>
      </left>
      <right/>
      <top/>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top style="thin">
        <color theme="0"/>
      </top>
      <bottom style="medium">
        <color indexed="64"/>
      </bottom>
      <diagonal/>
    </border>
    <border>
      <left/>
      <right/>
      <top style="thin">
        <color theme="0"/>
      </top>
      <bottom style="medium">
        <color indexed="64"/>
      </bottom>
      <diagonal/>
    </border>
    <border>
      <left style="thin">
        <color theme="4" tint="0.39997558519241921"/>
      </left>
      <right/>
      <top style="thin">
        <color theme="0"/>
      </top>
      <bottom/>
      <diagonal/>
    </border>
    <border>
      <left style="thin">
        <color theme="0"/>
      </left>
      <right style="thin">
        <color theme="4" tint="0.39997558519241921"/>
      </right>
      <top style="thin">
        <color theme="0"/>
      </top>
      <bottom/>
      <diagonal/>
    </border>
  </borders>
  <cellStyleXfs count="107">
    <xf numFmtId="0" fontId="0" fillId="0" borderId="0"/>
    <xf numFmtId="9" fontId="2" fillId="0" borderId="0" applyFont="0" applyFill="0" applyBorder="0" applyAlignment="0" applyProtection="0"/>
    <xf numFmtId="0" fontId="3" fillId="0" borderId="0"/>
    <xf numFmtId="43" fontId="4" fillId="0" borderId="0" applyFont="0" applyFill="0" applyBorder="0" applyAlignment="0" applyProtection="0"/>
    <xf numFmtId="164" fontId="2"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4" fillId="0" borderId="0" applyNumberFormat="0" applyFill="0" applyBorder="0" applyAlignment="0" applyProtection="0"/>
    <xf numFmtId="0" fontId="5" fillId="0" borderId="0"/>
    <xf numFmtId="0" fontId="6" fillId="0" borderId="0"/>
    <xf numFmtId="9" fontId="5" fillId="0" borderId="0" applyFont="0" applyFill="0" applyBorder="0" applyAlignment="0" applyProtection="0"/>
    <xf numFmtId="0" fontId="2" fillId="0" borderId="0"/>
    <xf numFmtId="0" fontId="3" fillId="0" borderId="0"/>
    <xf numFmtId="9" fontId="2" fillId="0" borderId="0" applyFont="0" applyFill="0" applyBorder="0" applyAlignment="0" applyProtection="0"/>
    <xf numFmtId="0" fontId="5" fillId="0" borderId="0"/>
    <xf numFmtId="0" fontId="4" fillId="0" borderId="0"/>
    <xf numFmtId="0" fontId="7" fillId="0" borderId="0" applyNumberFormat="0" applyFill="0" applyBorder="0" applyAlignment="0" applyProtection="0"/>
    <xf numFmtId="164" fontId="3"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11" fillId="0" borderId="0" applyNumberFormat="0" applyFill="0" applyBorder="0" applyAlignment="0" applyProtection="0"/>
    <xf numFmtId="164" fontId="5" fillId="0" borderId="0" applyFont="0" applyFill="0" applyBorder="0" applyAlignment="0" applyProtection="0"/>
    <xf numFmtId="0" fontId="12" fillId="0" borderId="0"/>
    <xf numFmtId="0" fontId="10" fillId="0" borderId="0" applyNumberFormat="0" applyFill="0" applyBorder="0" applyAlignment="0" applyProtection="0"/>
    <xf numFmtId="0" fontId="5" fillId="0" borderId="0"/>
    <xf numFmtId="0" fontId="2" fillId="0" borderId="0"/>
    <xf numFmtId="0" fontId="4" fillId="0" borderId="0"/>
    <xf numFmtId="0" fontId="5" fillId="0" borderId="0"/>
    <xf numFmtId="0" fontId="4" fillId="0" borderId="0"/>
    <xf numFmtId="0" fontId="4" fillId="5" borderId="2" applyNumberFormat="0" applyFont="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2" fillId="0" borderId="0"/>
    <xf numFmtId="0" fontId="2" fillId="0" borderId="0"/>
    <xf numFmtId="0" fontId="13" fillId="4" borderId="1"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43" fontId="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14" fillId="0" borderId="0"/>
    <xf numFmtId="43" fontId="5" fillId="0" borderId="0" applyFont="0" applyFill="0" applyBorder="0" applyAlignment="0" applyProtection="0"/>
    <xf numFmtId="0" fontId="1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64" fontId="5" fillId="0" borderId="0" applyFont="0" applyFill="0" applyBorder="0" applyAlignment="0" applyProtection="0"/>
    <xf numFmtId="43" fontId="2" fillId="0" borderId="0" applyFont="0" applyFill="0" applyBorder="0" applyAlignment="0" applyProtection="0"/>
  </cellStyleXfs>
  <cellXfs count="103">
    <xf numFmtId="0" fontId="0" fillId="0" borderId="0" xfId="0"/>
    <xf numFmtId="0" fontId="9" fillId="0" borderId="0" xfId="0" applyFont="1"/>
    <xf numFmtId="165" fontId="0" fillId="0" borderId="0" xfId="0" applyNumberFormat="1"/>
    <xf numFmtId="0" fontId="8" fillId="0" borderId="0" xfId="0" applyFont="1"/>
    <xf numFmtId="0" fontId="0" fillId="0" borderId="0" xfId="0" applyAlignment="1">
      <alignment vertical="center"/>
    </xf>
    <xf numFmtId="0" fontId="0" fillId="0" borderId="0" xfId="0" applyAlignment="1">
      <alignment horizontal="center" vertical="center"/>
    </xf>
    <xf numFmtId="165" fontId="0" fillId="0" borderId="0" xfId="1" applyNumberFormat="1" applyFont="1"/>
    <xf numFmtId="0" fontId="15" fillId="0" borderId="0" xfId="0" applyFont="1"/>
    <xf numFmtId="0" fontId="16" fillId="0" borderId="0" xfId="0" applyFont="1"/>
    <xf numFmtId="0" fontId="19" fillId="0" borderId="0" xfId="29" applyFont="1" applyFill="1" applyBorder="1" applyAlignment="1">
      <alignment horizontal="center" vertical="center" wrapText="1"/>
    </xf>
    <xf numFmtId="0" fontId="19" fillId="8" borderId="0" xfId="29" applyFont="1" applyFill="1" applyBorder="1" applyAlignment="1">
      <alignment horizontal="center" vertical="center" wrapText="1"/>
    </xf>
    <xf numFmtId="0" fontId="19" fillId="3" borderId="0" xfId="29" applyFont="1" applyFill="1" applyBorder="1" applyAlignment="1">
      <alignment horizontal="center" vertical="center" wrapText="1"/>
    </xf>
    <xf numFmtId="0" fontId="18" fillId="6" borderId="0" xfId="0" applyFont="1" applyFill="1" applyAlignment="1">
      <alignment horizontal="center" vertical="center" wrapText="1"/>
    </xf>
    <xf numFmtId="0" fontId="18" fillId="7" borderId="0" xfId="0" applyFont="1" applyFill="1" applyAlignment="1">
      <alignment horizontal="center" vertical="center" wrapText="1"/>
    </xf>
    <xf numFmtId="0" fontId="21" fillId="3" borderId="4" xfId="2" applyFont="1" applyFill="1" applyBorder="1" applyAlignment="1">
      <alignment vertical="center"/>
    </xf>
    <xf numFmtId="0" fontId="22" fillId="7" borderId="5" xfId="98" applyFont="1" applyFill="1" applyBorder="1" applyAlignment="1">
      <alignment horizontal="center" vertical="center" shrinkToFit="1"/>
    </xf>
    <xf numFmtId="0" fontId="22" fillId="7" borderId="7" xfId="98" applyFont="1" applyFill="1" applyBorder="1" applyAlignment="1">
      <alignment horizontal="center" vertical="center" shrinkToFit="1"/>
    </xf>
    <xf numFmtId="3" fontId="23" fillId="3" borderId="7" xfId="105" applyNumberFormat="1" applyFont="1" applyFill="1" applyBorder="1" applyAlignment="1">
      <alignment horizontal="center" vertical="center" wrapText="1" shrinkToFit="1"/>
    </xf>
    <xf numFmtId="3" fontId="23" fillId="2" borderId="7" xfId="105" applyNumberFormat="1" applyFont="1" applyFill="1" applyBorder="1" applyAlignment="1">
      <alignment horizontal="center" vertical="center" wrapText="1" shrinkToFit="1"/>
    </xf>
    <xf numFmtId="165" fontId="23" fillId="2" borderId="7" xfId="1" applyNumberFormat="1" applyFont="1" applyFill="1" applyBorder="1" applyAlignment="1">
      <alignment horizontal="center" vertical="center" wrapText="1" shrinkToFit="1"/>
    </xf>
    <xf numFmtId="165" fontId="23" fillId="3" borderId="7" xfId="1" applyNumberFormat="1" applyFont="1" applyFill="1" applyBorder="1" applyAlignment="1">
      <alignment horizontal="center" vertical="center" wrapText="1" shrinkToFit="1"/>
    </xf>
    <xf numFmtId="0" fontId="21" fillId="3" borderId="4" xfId="2" applyFont="1" applyFill="1" applyBorder="1" applyAlignment="1">
      <alignment horizontal="left" vertical="center"/>
    </xf>
    <xf numFmtId="166" fontId="23" fillId="3" borderId="7" xfId="1" applyNumberFormat="1" applyFont="1" applyFill="1" applyBorder="1" applyAlignment="1">
      <alignment horizontal="center" vertical="center" wrapText="1" shrinkToFit="1"/>
    </xf>
    <xf numFmtId="166" fontId="23" fillId="2" borderId="7" xfId="1" applyNumberFormat="1" applyFont="1" applyFill="1" applyBorder="1" applyAlignment="1">
      <alignment horizontal="center" vertical="center" wrapText="1" shrinkToFit="1"/>
    </xf>
    <xf numFmtId="0" fontId="22" fillId="7" borderId="5" xfId="98" applyFont="1" applyFill="1" applyBorder="1" applyAlignment="1">
      <alignment horizontal="center" vertical="center" wrapText="1" shrinkToFit="1"/>
    </xf>
    <xf numFmtId="3" fontId="23" fillId="3" borderId="7" xfId="1" applyNumberFormat="1" applyFont="1" applyFill="1" applyBorder="1" applyAlignment="1">
      <alignment horizontal="center" vertical="center" wrapText="1" shrinkToFit="1"/>
    </xf>
    <xf numFmtId="3" fontId="23" fillId="2" borderId="7" xfId="1" applyNumberFormat="1" applyFont="1" applyFill="1" applyBorder="1" applyAlignment="1">
      <alignment horizontal="center" vertical="center" wrapText="1" shrinkToFit="1"/>
    </xf>
    <xf numFmtId="166" fontId="0" fillId="0" borderId="0" xfId="0" applyNumberFormat="1" applyAlignment="1">
      <alignment horizontal="center"/>
    </xf>
    <xf numFmtId="0" fontId="1" fillId="0" borderId="0" xfId="0" applyFont="1"/>
    <xf numFmtId="3" fontId="22" fillId="7" borderId="5" xfId="98" applyNumberFormat="1" applyFont="1" applyFill="1" applyBorder="1" applyAlignment="1">
      <alignment horizontal="center" vertical="center" shrinkToFit="1" readingOrder="1"/>
    </xf>
    <xf numFmtId="165" fontId="22" fillId="7" borderId="5" xfId="1" applyNumberFormat="1" applyFont="1" applyFill="1" applyBorder="1" applyAlignment="1">
      <alignment horizontal="center" vertical="center" wrapText="1" shrinkToFit="1" readingOrder="1"/>
    </xf>
    <xf numFmtId="165" fontId="22" fillId="7" borderId="5" xfId="1" applyNumberFormat="1" applyFont="1" applyFill="1" applyBorder="1" applyAlignment="1">
      <alignment horizontal="center" vertical="center" shrinkToFit="1" readingOrder="1"/>
    </xf>
    <xf numFmtId="49" fontId="19" fillId="0" borderId="0" xfId="0" applyNumberFormat="1" applyFont="1" applyAlignment="1">
      <alignment horizontal="left" vertical="center" wrapText="1"/>
    </xf>
    <xf numFmtId="49" fontId="19" fillId="8" borderId="0" xfId="0" applyNumberFormat="1" applyFont="1" applyFill="1" applyAlignment="1">
      <alignment horizontal="left" vertical="center" wrapText="1"/>
    </xf>
    <xf numFmtId="0" fontId="18" fillId="7" borderId="0" xfId="0" applyFont="1" applyFill="1" applyAlignment="1">
      <alignment horizontal="left" vertical="center" wrapText="1"/>
    </xf>
    <xf numFmtId="0" fontId="25" fillId="0" borderId="8" xfId="26" applyFont="1" applyBorder="1" applyAlignment="1">
      <alignment horizontal="right" vertical="top"/>
    </xf>
    <xf numFmtId="4" fontId="23" fillId="3" borderId="7" xfId="105" applyNumberFormat="1" applyFont="1" applyFill="1" applyBorder="1" applyAlignment="1">
      <alignment horizontal="left" vertical="center" wrapText="1" shrinkToFit="1"/>
    </xf>
    <xf numFmtId="4" fontId="23" fillId="2" borderId="7" xfId="105" applyNumberFormat="1" applyFont="1" applyFill="1" applyBorder="1" applyAlignment="1">
      <alignment horizontal="left" vertical="center" wrapText="1" shrinkToFit="1"/>
    </xf>
    <xf numFmtId="0" fontId="28" fillId="0" borderId="0" xfId="0" applyFont="1" applyAlignment="1">
      <alignment vertical="center" wrapText="1"/>
    </xf>
    <xf numFmtId="0" fontId="0" fillId="3" borderId="0" xfId="0" applyFill="1"/>
    <xf numFmtId="0" fontId="24" fillId="3" borderId="8" xfId="2" applyFont="1" applyFill="1" applyBorder="1" applyAlignment="1">
      <alignment vertical="top" wrapText="1"/>
    </xf>
    <xf numFmtId="0" fontId="9" fillId="0" borderId="0" xfId="0" applyFont="1" applyAlignment="1">
      <alignment vertical="top" wrapText="1"/>
    </xf>
    <xf numFmtId="0" fontId="27" fillId="0" borderId="0" xfId="0" applyFont="1"/>
    <xf numFmtId="3" fontId="0" fillId="0" borderId="0" xfId="0" applyNumberFormat="1"/>
    <xf numFmtId="0" fontId="22" fillId="6" borderId="5" xfId="98" applyFont="1" applyFill="1" applyBorder="1" applyAlignment="1">
      <alignment horizontal="center" vertical="center" wrapText="1" shrinkToFit="1" readingOrder="1"/>
    </xf>
    <xf numFmtId="165" fontId="22" fillId="6" borderId="5" xfId="1" applyNumberFormat="1" applyFont="1" applyFill="1" applyBorder="1" applyAlignment="1">
      <alignment horizontal="center" vertical="center" wrapText="1" shrinkToFit="1" readingOrder="1"/>
    </xf>
    <xf numFmtId="0" fontId="21" fillId="3" borderId="4" xfId="2" applyFont="1" applyFill="1" applyBorder="1" applyAlignment="1">
      <alignment horizontal="right" vertical="center"/>
    </xf>
    <xf numFmtId="167" fontId="23" fillId="3" borderId="7" xfId="1" applyNumberFormat="1" applyFont="1" applyFill="1" applyBorder="1" applyAlignment="1">
      <alignment horizontal="center" vertical="center" wrapText="1" shrinkToFit="1"/>
    </xf>
    <xf numFmtId="167" fontId="23" fillId="2" borderId="7" xfId="1" applyNumberFormat="1" applyFont="1" applyFill="1" applyBorder="1" applyAlignment="1">
      <alignment horizontal="center" vertical="center" wrapText="1" shrinkToFit="1"/>
    </xf>
    <xf numFmtId="0" fontId="19" fillId="8" borderId="0" xfId="29" applyFont="1" applyFill="1" applyAlignment="1">
      <alignment horizontal="center" vertical="center" wrapText="1"/>
    </xf>
    <xf numFmtId="2" fontId="19" fillId="3" borderId="0" xfId="29" applyNumberFormat="1" applyFont="1" applyFill="1" applyBorder="1" applyAlignment="1">
      <alignment horizontal="center" vertical="center" wrapText="1"/>
    </xf>
    <xf numFmtId="2" fontId="22" fillId="6" borderId="9" xfId="98" applyNumberFormat="1" applyFont="1" applyFill="1" applyBorder="1" applyAlignment="1">
      <alignment vertical="center" shrinkToFit="1" readingOrder="1"/>
    </xf>
    <xf numFmtId="168" fontId="23" fillId="3" borderId="7" xfId="106" applyNumberFormat="1" applyFont="1" applyFill="1" applyBorder="1" applyAlignment="1">
      <alignment horizontal="center" vertical="center" wrapText="1" shrinkToFit="1"/>
    </xf>
    <xf numFmtId="168" fontId="23" fillId="2" borderId="7" xfId="106" applyNumberFormat="1" applyFont="1" applyFill="1" applyBorder="1" applyAlignment="1">
      <alignment horizontal="center" vertical="center" wrapText="1" shrinkToFit="1"/>
    </xf>
    <xf numFmtId="0" fontId="29" fillId="6" borderId="5" xfId="98" applyFont="1" applyFill="1" applyBorder="1" applyAlignment="1">
      <alignment horizontal="center" vertical="center" wrapText="1" shrinkToFit="1" readingOrder="1"/>
    </xf>
    <xf numFmtId="0" fontId="29" fillId="6" borderId="16" xfId="98" applyFont="1" applyFill="1" applyBorder="1" applyAlignment="1">
      <alignment horizontal="center" vertical="center" wrapText="1" shrinkToFit="1" readingOrder="1"/>
    </xf>
    <xf numFmtId="168" fontId="23" fillId="3" borderId="5" xfId="106" applyNumberFormat="1" applyFont="1" applyFill="1" applyBorder="1" applyAlignment="1">
      <alignment horizontal="center" vertical="center" wrapText="1" shrinkToFit="1"/>
    </xf>
    <xf numFmtId="168" fontId="23" fillId="2" borderId="5" xfId="106" applyNumberFormat="1" applyFont="1" applyFill="1" applyBorder="1" applyAlignment="1">
      <alignment horizontal="center" vertical="center" wrapText="1" shrinkToFit="1"/>
    </xf>
    <xf numFmtId="168" fontId="23" fillId="3" borderId="4" xfId="106" applyNumberFormat="1" applyFont="1" applyFill="1" applyBorder="1" applyAlignment="1">
      <alignment horizontal="center" vertical="center" wrapText="1" shrinkToFit="1"/>
    </xf>
    <xf numFmtId="2" fontId="29" fillId="6" borderId="15" xfId="98" applyNumberFormat="1" applyFont="1" applyFill="1" applyBorder="1" applyAlignment="1">
      <alignment horizontal="center" vertical="center" shrinkToFit="1" readingOrder="1"/>
    </xf>
    <xf numFmtId="4" fontId="23" fillId="3" borderId="5" xfId="105" applyNumberFormat="1" applyFont="1" applyFill="1" applyBorder="1" applyAlignment="1">
      <alignment horizontal="center" vertical="center" wrapText="1" shrinkToFit="1"/>
    </xf>
    <xf numFmtId="10" fontId="0" fillId="0" borderId="0" xfId="0" applyNumberFormat="1" applyAlignment="1">
      <alignment horizontal="center"/>
    </xf>
    <xf numFmtId="4" fontId="23" fillId="2" borderId="5" xfId="105" applyNumberFormat="1" applyFont="1" applyFill="1" applyBorder="1" applyAlignment="1">
      <alignment horizontal="center" vertical="center" wrapText="1" shrinkToFit="1"/>
    </xf>
    <xf numFmtId="4" fontId="23" fillId="3" borderId="4" xfId="105" applyNumberFormat="1" applyFont="1" applyFill="1" applyBorder="1" applyAlignment="1">
      <alignment horizontal="center" vertical="center" wrapText="1" shrinkToFit="1"/>
    </xf>
    <xf numFmtId="0" fontId="0" fillId="0" borderId="0" xfId="0" applyAlignment="1">
      <alignment horizontal="center"/>
    </xf>
    <xf numFmtId="0" fontId="29" fillId="9" borderId="0" xfId="98" applyFont="1" applyFill="1" applyAlignment="1">
      <alignment horizontal="center" vertical="center" wrapText="1" shrinkToFit="1" readingOrder="1"/>
    </xf>
    <xf numFmtId="3" fontId="23" fillId="10" borderId="7" xfId="105" applyNumberFormat="1" applyFont="1" applyFill="1" applyBorder="1" applyAlignment="1">
      <alignment horizontal="center" vertical="center" wrapText="1" shrinkToFit="1"/>
    </xf>
    <xf numFmtId="0" fontId="0" fillId="3" borderId="0" xfId="0" applyFill="1" applyAlignment="1">
      <alignment horizontal="center" wrapText="1"/>
    </xf>
    <xf numFmtId="0" fontId="0" fillId="0" borderId="0" xfId="0" applyAlignment="1">
      <alignment horizontal="center" vertical="center" wrapText="1"/>
    </xf>
    <xf numFmtId="0" fontId="29" fillId="11" borderId="5" xfId="98" applyFont="1" applyFill="1" applyBorder="1" applyAlignment="1">
      <alignment horizontal="center" vertical="center" shrinkToFit="1"/>
    </xf>
    <xf numFmtId="165" fontId="29" fillId="12" borderId="7" xfId="1" applyNumberFormat="1" applyFont="1" applyFill="1" applyBorder="1" applyAlignment="1">
      <alignment horizontal="center" vertical="center" wrapText="1" shrinkToFit="1"/>
    </xf>
    <xf numFmtId="165" fontId="29" fillId="13" borderId="7" xfId="1" applyNumberFormat="1" applyFont="1" applyFill="1" applyBorder="1" applyAlignment="1">
      <alignment horizontal="center" vertical="center" wrapText="1" shrinkToFit="1"/>
    </xf>
    <xf numFmtId="1" fontId="0" fillId="0" borderId="0" xfId="0" applyNumberFormat="1" applyAlignment="1">
      <alignment horizontal="center"/>
    </xf>
    <xf numFmtId="0" fontId="29" fillId="6" borderId="5" xfId="98" applyFont="1" applyFill="1" applyBorder="1" applyAlignment="1">
      <alignment horizontal="center" vertical="center" shrinkToFit="1" readingOrder="1"/>
    </xf>
    <xf numFmtId="0" fontId="17" fillId="0" borderId="3" xfId="98" applyFont="1" applyBorder="1" applyAlignment="1">
      <alignment horizontal="center" vertical="center" wrapText="1"/>
    </xf>
    <xf numFmtId="0" fontId="17" fillId="0" borderId="0" xfId="98" applyFont="1" applyAlignment="1">
      <alignment horizontal="center" vertical="center" wrapText="1"/>
    </xf>
    <xf numFmtId="0" fontId="22" fillId="7" borderId="5" xfId="98" applyFont="1" applyFill="1" applyBorder="1" applyAlignment="1">
      <alignment horizontal="center" vertical="center" shrinkToFit="1"/>
    </xf>
    <xf numFmtId="0" fontId="22" fillId="7" borderId="6" xfId="98" applyFont="1" applyFill="1" applyBorder="1" applyAlignment="1">
      <alignment horizontal="center" vertical="center" shrinkToFit="1"/>
    </xf>
    <xf numFmtId="0" fontId="25" fillId="0" borderId="8" xfId="26" applyFont="1" applyBorder="1" applyAlignment="1">
      <alignment horizontal="right" vertical="top"/>
    </xf>
    <xf numFmtId="0" fontId="25" fillId="0" borderId="9" xfId="26" applyFont="1" applyBorder="1" applyAlignment="1">
      <alignment horizontal="right" vertical="top"/>
    </xf>
    <xf numFmtId="0" fontId="24" fillId="3" borderId="5" xfId="2" applyFont="1" applyFill="1" applyBorder="1" applyAlignment="1">
      <alignment horizontal="left" vertical="top" wrapText="1"/>
    </xf>
    <xf numFmtId="0" fontId="24" fillId="3" borderId="10" xfId="2" applyFont="1" applyFill="1" applyBorder="1" applyAlignment="1">
      <alignment horizontal="left" vertical="top" wrapText="1"/>
    </xf>
    <xf numFmtId="0" fontId="20" fillId="0" borderId="3" xfId="98" applyFont="1" applyBorder="1" applyAlignment="1">
      <alignment horizontal="center" vertical="center" wrapText="1"/>
    </xf>
    <xf numFmtId="0" fontId="20" fillId="0" borderId="0" xfId="98" applyFont="1" applyAlignment="1">
      <alignment horizontal="center" vertical="center" wrapText="1"/>
    </xf>
    <xf numFmtId="0" fontId="24" fillId="3" borderId="4" xfId="2" applyFont="1" applyFill="1" applyBorder="1" applyAlignment="1">
      <alignment horizontal="left" vertical="top" wrapText="1"/>
    </xf>
    <xf numFmtId="0" fontId="24" fillId="3" borderId="8" xfId="2" applyFont="1" applyFill="1" applyBorder="1" applyAlignment="1">
      <alignment horizontal="left" vertical="top" wrapText="1"/>
    </xf>
    <xf numFmtId="0" fontId="25" fillId="0" borderId="4" xfId="26" applyFont="1" applyBorder="1" applyAlignment="1">
      <alignment horizontal="right" vertical="top"/>
    </xf>
    <xf numFmtId="0" fontId="24" fillId="3" borderId="6" xfId="2" applyFont="1" applyFill="1" applyBorder="1" applyAlignment="1">
      <alignment horizontal="left" vertical="top" wrapText="1"/>
    </xf>
    <xf numFmtId="0" fontId="25" fillId="0" borderId="10" xfId="26" applyFont="1" applyBorder="1" applyAlignment="1">
      <alignment horizontal="right" vertical="top"/>
    </xf>
    <xf numFmtId="0" fontId="25" fillId="0" borderId="6" xfId="26" applyFont="1" applyBorder="1" applyAlignment="1">
      <alignment horizontal="right" vertical="top"/>
    </xf>
    <xf numFmtId="0" fontId="26" fillId="0" borderId="3" xfId="98" applyFont="1" applyBorder="1" applyAlignment="1">
      <alignment horizontal="center" vertical="center" wrapText="1"/>
    </xf>
    <xf numFmtId="2" fontId="22" fillId="7" borderId="4" xfId="98" applyNumberFormat="1" applyFont="1" applyFill="1" applyBorder="1" applyAlignment="1">
      <alignment horizontal="center" vertical="center" shrinkToFit="1"/>
    </xf>
    <xf numFmtId="2" fontId="22" fillId="7" borderId="9" xfId="98" applyNumberFormat="1" applyFont="1" applyFill="1" applyBorder="1" applyAlignment="1">
      <alignment horizontal="center" vertical="center" shrinkToFit="1"/>
    </xf>
    <xf numFmtId="2" fontId="22" fillId="7" borderId="5" xfId="98" applyNumberFormat="1" applyFont="1" applyFill="1" applyBorder="1" applyAlignment="1">
      <alignment horizontal="center" vertical="center" shrinkToFit="1"/>
    </xf>
    <xf numFmtId="2" fontId="22" fillId="7" borderId="6" xfId="98" applyNumberFormat="1" applyFont="1" applyFill="1" applyBorder="1" applyAlignment="1">
      <alignment horizontal="center" vertical="center" shrinkToFit="1"/>
    </xf>
    <xf numFmtId="0" fontId="26" fillId="0" borderId="0" xfId="98" applyFont="1" applyAlignment="1">
      <alignment horizontal="center" vertical="center" wrapText="1"/>
    </xf>
    <xf numFmtId="0" fontId="24" fillId="3" borderId="11" xfId="2" applyFont="1" applyFill="1" applyBorder="1" applyAlignment="1">
      <alignment horizontal="left" vertical="top" wrapText="1"/>
    </xf>
    <xf numFmtId="0" fontId="24" fillId="3" borderId="12" xfId="2" applyFont="1" applyFill="1" applyBorder="1" applyAlignment="1">
      <alignment horizontal="left" vertical="top" wrapText="1"/>
    </xf>
    <xf numFmtId="0" fontId="24" fillId="3" borderId="0" xfId="2" applyFont="1" applyFill="1" applyAlignment="1">
      <alignment horizontal="left" vertical="top" wrapText="1"/>
    </xf>
    <xf numFmtId="2" fontId="22" fillId="6" borderId="4" xfId="98" applyNumberFormat="1" applyFont="1" applyFill="1" applyBorder="1" applyAlignment="1">
      <alignment horizontal="center" vertical="center" shrinkToFit="1" readingOrder="1"/>
    </xf>
    <xf numFmtId="2" fontId="22" fillId="6" borderId="9" xfId="98" applyNumberFormat="1" applyFont="1" applyFill="1" applyBorder="1" applyAlignment="1">
      <alignment horizontal="center" vertical="center" shrinkToFit="1" readingOrder="1"/>
    </xf>
    <xf numFmtId="2" fontId="22" fillId="7" borderId="13" xfId="98" applyNumberFormat="1" applyFont="1" applyFill="1" applyBorder="1" applyAlignment="1">
      <alignment horizontal="left" vertical="center" shrinkToFit="1" readingOrder="1"/>
    </xf>
    <xf numFmtId="2" fontId="22" fillId="7" borderId="14" xfId="98" applyNumberFormat="1" applyFont="1" applyFill="1" applyBorder="1" applyAlignment="1">
      <alignment horizontal="left" vertical="center" shrinkToFit="1" readingOrder="1"/>
    </xf>
  </cellXfs>
  <cellStyles count="107">
    <cellStyle name="Comma" xfId="106" builtinId="3"/>
    <cellStyle name="Comma 2" xfId="3" xr:uid="{00000000-0005-0000-0000-000001000000}"/>
    <cellStyle name="Comma 2 2" xfId="7" xr:uid="{AD53B42C-766B-4DDA-857B-DB022DF01554}"/>
    <cellStyle name="Comma 2 2 2" xfId="46" xr:uid="{35B75E8C-4070-4D5A-8B92-A343064108C0}"/>
    <cellStyle name="Comma 2 3" xfId="22" xr:uid="{86BD8E1A-D131-4C7C-B310-B892B6977AAD}"/>
    <cellStyle name="Comma 2 3 2" xfId="97" xr:uid="{1660926F-F74F-46B5-AA13-584F87A9F84E}"/>
    <cellStyle name="Comma 2 4" xfId="36" xr:uid="{E9A2F463-D3D8-4868-A61D-FE0B990866A2}"/>
    <cellStyle name="Comma 2 7 2 2" xfId="105" xr:uid="{F9CA755C-7514-4511-BAE4-0D9083DC7CE0}"/>
    <cellStyle name="Comma 3" xfId="6" xr:uid="{99925EC6-D1FD-4F32-9E66-2579A7F3715A}"/>
    <cellStyle name="Comma 3 2" xfId="45" xr:uid="{D71F88D9-7227-4AC7-A997-C543F46356A7}"/>
    <cellStyle name="Comma 3 2 2" xfId="99" xr:uid="{7A2F6553-9096-4749-952D-5C2CA1034FF0}"/>
    <cellStyle name="Comma 4" xfId="4" xr:uid="{00000000-0005-0000-0000-000031000000}"/>
    <cellStyle name="Comma 4 2" xfId="87" xr:uid="{3BA9471F-860D-4BDA-A37C-F075A25A8008}"/>
    <cellStyle name="Comma 5" xfId="19" xr:uid="{DE864887-9935-43A6-A63B-10EAD3FE0B8A}"/>
    <cellStyle name="Comma 6" xfId="23" xr:uid="{FE59F320-654C-4A78-AD17-1778601CC004}"/>
    <cellStyle name="Comma 7" xfId="27" xr:uid="{087D6D83-A4EF-4FE3-A35B-1F4F1E47FC4B}"/>
    <cellStyle name="Hyperlink 2" xfId="18" xr:uid="{1D7D66CB-8A47-4C4E-A726-30C15181FD54}"/>
    <cellStyle name="Hyperlink 3" xfId="26" xr:uid="{DACB9F03-0010-4210-A170-89B49E86BCB5}"/>
    <cellStyle name="Normal" xfId="0" builtinId="0"/>
    <cellStyle name="Normal 2" xfId="2" xr:uid="{41287CB1-3E34-443C-95D4-3616A95E0D48}"/>
    <cellStyle name="Normal 2 2" xfId="17" xr:uid="{95D538F7-9FC7-4007-BFF7-FB9CE35980D0}"/>
    <cellStyle name="Normal 2 3" xfId="14" xr:uid="{B405772E-CE22-43A6-8FDB-4A1968364E45}"/>
    <cellStyle name="Normal 2 4" xfId="11" xr:uid="{4C66407D-355F-4B0E-8A0F-BF70454F7896}"/>
    <cellStyle name="Normal 2 5" xfId="30" xr:uid="{8715F991-ABFB-44EC-9BC4-B86FA566298A}"/>
    <cellStyle name="Normal 3" xfId="9" xr:uid="{998A10B2-56CE-4CF5-BBCB-E924AC48D253}"/>
    <cellStyle name="Normal 3 2" xfId="24" xr:uid="{55C9FFB7-C590-4696-9AC9-9DE6E9CDE433}"/>
    <cellStyle name="Normal 3 3" xfId="33" xr:uid="{242A0002-F2F3-4B9C-86F9-8F3EA09C7209}"/>
    <cellStyle name="Normal 4" xfId="13" xr:uid="{839D7009-4D70-4E40-8752-950C8C29169B}"/>
    <cellStyle name="Normal 4 2" xfId="47" xr:uid="{257426E2-F05C-45A2-A254-5D83D0E8CD01}"/>
    <cellStyle name="Normal 4 3" xfId="34" xr:uid="{D82A78C0-02A7-455E-8F46-DBA755F23260}"/>
    <cellStyle name="Normal 5" xfId="10" xr:uid="{3D951807-7371-42B6-83E2-033FE625A261}"/>
    <cellStyle name="Normal 5 2" xfId="83" xr:uid="{DBC3444C-31D1-4443-8B82-FC0534740F4E}"/>
    <cellStyle name="Percent" xfId="1" builtinId="5"/>
    <cellStyle name="Percent 2" xfId="5" xr:uid="{278EEBDB-FA68-4765-BE8E-0B5FE3649240}"/>
    <cellStyle name="Percent 2 2" xfId="8" xr:uid="{517A2254-0B22-4B4F-ABB5-8DAC777E9763}"/>
    <cellStyle name="Percent 3" xfId="15" xr:uid="{807D38DB-2882-463A-8696-A588EFB1FC4B}"/>
    <cellStyle name="Percent 4" xfId="12" xr:uid="{DE1A672D-4FF4-4072-80CE-E45E197529D4}"/>
    <cellStyle name="ارتباط تشعبي 2" xfId="29" xr:uid="{8B54E8F8-23A0-4A2B-8286-6D23E0695D2A}"/>
    <cellStyle name="خلية تدقيق 2" xfId="50" xr:uid="{E535B1EE-92E8-4B5F-940E-67EFC3FD9D9C}"/>
    <cellStyle name="عادي 2" xfId="21" xr:uid="{8D695A21-6A66-4AF1-A647-E585A88589AB}"/>
    <cellStyle name="عادي 2 2" xfId="16" xr:uid="{F27EFF53-04C2-4078-87D2-28B8931D1C8E}"/>
    <cellStyle name="عادي 2 2 2" xfId="20" xr:uid="{D9C0F132-3881-46DF-8743-6309B86361C3}"/>
    <cellStyle name="عادي 2 2 2 2" xfId="49" xr:uid="{9255864F-AE7B-45A8-A2C9-0A18BB931B59}"/>
    <cellStyle name="عادي 2 2 2 3" xfId="53" xr:uid="{50A5A56D-7F17-42C5-B651-675913B65CA1}"/>
    <cellStyle name="عادي 2 2 2 3 2" xfId="69" xr:uid="{3D8010C5-A174-44DE-8A2A-48267082496A}"/>
    <cellStyle name="عادي 2 2 2 3 2 2" xfId="77" xr:uid="{7DBFFD32-E013-4DF9-BC30-ED7A1689BDC2}"/>
    <cellStyle name="عادي 2 2 2 3 2 2 2" xfId="102" xr:uid="{29C7FE92-FFB9-4546-945A-31B9106B8509}"/>
    <cellStyle name="عادي 2 2 2 3 2 3" xfId="93" xr:uid="{47CA3D19-170B-4CA2-BD65-0289FC81ECE9}"/>
    <cellStyle name="عادي 2 2 2 4" xfId="59" xr:uid="{594C8C94-C2DA-490E-8A74-D436E6FCA5DE}"/>
    <cellStyle name="عادي 2 2 2 4 2" xfId="68" xr:uid="{71994AB4-B44E-459F-B2B2-5E1262DAB7F7}"/>
    <cellStyle name="عادي 2 2 2 4 2 2" xfId="76" xr:uid="{4E1A66D7-067E-4891-8249-DD09842B24DF}"/>
    <cellStyle name="عادي 2 2 2 4 2 2 2" xfId="103" xr:uid="{8C1C0B45-490A-4D2F-8065-941239FAF3E1}"/>
    <cellStyle name="عادي 2 2 2 4 2 3" xfId="90" xr:uid="{1B12B0F7-A03E-40CA-941D-7F3758CC4BB7}"/>
    <cellStyle name="عادي 2 2 2 5" xfId="61" xr:uid="{D2A6215C-2D5E-4EAA-82F0-6C2B05A60E24}"/>
    <cellStyle name="عادي 2 2 2 5 2" xfId="92" xr:uid="{841CF7A2-11A0-4EEC-9818-E35680066203}"/>
    <cellStyle name="عادي 2 2 2 6" xfId="66" xr:uid="{EC941E92-8A92-40B0-B83E-6F7AE626ECEE}"/>
    <cellStyle name="عادي 2 2 2 6 2" xfId="72" xr:uid="{73086D92-081A-4559-824B-FA2F848B36F0}"/>
    <cellStyle name="عادي 2 2 2 6 2 2" xfId="104" xr:uid="{45F8C690-F11B-4D51-972A-45242B63AE23}"/>
    <cellStyle name="عادي 2 2 2 6 3" xfId="74" xr:uid="{2C569755-3105-40D8-9707-10D6F811BCB9}"/>
    <cellStyle name="عادي 2 2 2 6 4" xfId="94" xr:uid="{C8A42D9F-5278-4961-A8FD-34A42C4D89BA}"/>
    <cellStyle name="عادي 2 2 2 7" xfId="86" xr:uid="{A22293ED-EC7E-49E2-A20A-E0C40A24B677}"/>
    <cellStyle name="عادي 2 2 3" xfId="42" xr:uid="{518A3F11-15B8-470B-AB90-6DA234D82653}"/>
    <cellStyle name="عادي 2 2 3 2" xfId="31" xr:uid="{8BA62681-8F98-44DB-AB84-2F0AD402DAE8}"/>
    <cellStyle name="عادي 2 2 3 2 2" xfId="41" xr:uid="{6348EA43-4475-48F0-A6C1-624347413BDD}"/>
    <cellStyle name="عادي 2 2 3 2 2 2" xfId="62" xr:uid="{D9090F9A-C5FB-49F1-B251-B69129AE067E}"/>
    <cellStyle name="عادي 2 2 3 2 2 2 2" xfId="91" xr:uid="{4E978E92-6070-4478-87E0-E540AEAF435E}"/>
    <cellStyle name="عادي 2 2 3 2 2 3" xfId="67" xr:uid="{76A644BA-59FD-4301-AA2F-2B88D7DE419B}"/>
    <cellStyle name="عادي 2 2 3 2 2 3 2" xfId="75" xr:uid="{93548785-BAEE-4642-ACDC-EC642636F4E7}"/>
    <cellStyle name="عادي 2 2 3 2 2 3 2 2" xfId="101" xr:uid="{0AF16D85-9BBB-4466-9D3D-32AABF675C41}"/>
    <cellStyle name="عادي 2 2 3 2 2 3 3" xfId="89" xr:uid="{F0A2C12D-98C2-4487-8DA0-392641152666}"/>
    <cellStyle name="عادي 2 2 3 2 3" xfId="44" xr:uid="{177C1EC9-A314-4DB6-B5EC-BFDC71BD915F}"/>
    <cellStyle name="عادي 2 2 3 2 3 2" xfId="52" xr:uid="{C220258D-365F-4E3C-A3AD-94D674DA32AC}"/>
    <cellStyle name="عادي 2 2 3 2 3 2 2" xfId="64" xr:uid="{4AFE12C7-0F7F-448D-AB69-443712AC4496}"/>
    <cellStyle name="عادي 2 2 3 2 3 3" xfId="63" xr:uid="{DC3F08D2-D809-4D5A-A406-4F9E84FE628C}"/>
    <cellStyle name="عادي 2 2 3 3" xfId="100" xr:uid="{3192ECB0-BF89-4B60-A167-3B1B27D29466}"/>
    <cellStyle name="عادي 2 2 3 3 3" xfId="79" xr:uid="{4ADA2DEF-BAA9-4E85-B874-20D7D2FB07E8}"/>
    <cellStyle name="عادي 2 2 4" xfId="43" xr:uid="{37D16BFC-20BF-4434-AE98-F3C3018D9759}"/>
    <cellStyle name="عادي 2 2 4 2" xfId="51" xr:uid="{AD309514-A32A-4919-930F-36A5BA1CEE8C}"/>
    <cellStyle name="عادي 2 2 4 2 2" xfId="65" xr:uid="{702E868D-57AA-405E-96C8-C3FB27D2C87D}"/>
    <cellStyle name="عادي 2 2 5" xfId="48" xr:uid="{F30B7B02-D1D7-4144-B987-E338CDDBFDF2}"/>
    <cellStyle name="عادي 2 2 5 2 2" xfId="80" xr:uid="{E6141616-1596-4E17-8171-C046A0725F74}"/>
    <cellStyle name="عادي 2 2 6" xfId="56" xr:uid="{B5A34A43-C7EC-4C25-97D6-F7C0A9C43D98}"/>
    <cellStyle name="عادي 2 2 6 2 2" xfId="81" xr:uid="{143503C1-F772-4984-9707-56A2DE9C0B32}"/>
    <cellStyle name="عادي 2 2 7" xfId="54" xr:uid="{6141EF86-6BAB-4FA7-87D6-F687064E0E73}"/>
    <cellStyle name="عادي 2 2 7 2 2" xfId="82" xr:uid="{073C4F37-3104-48CF-AC38-B24391551D34}"/>
    <cellStyle name="عادي 2 2 8" xfId="25" xr:uid="{640C29D8-C4F4-4C6B-B98C-05DFB90F89B6}"/>
    <cellStyle name="عادي 2 2 8 2" xfId="70" xr:uid="{67D8B3CC-E3FC-4E41-98E1-24B10C40C833}"/>
    <cellStyle name="عادي 2 2 8 3" xfId="71" xr:uid="{BF58C020-A1EC-411C-8F85-AB156986DF3F}"/>
    <cellStyle name="عادي 2 2 8 4" xfId="73" xr:uid="{91052BC2-B905-4ED4-A716-C27EC31ED8C6}"/>
    <cellStyle name="عادي 2 2 8 5" xfId="78" xr:uid="{823BC5DC-C352-4DED-9D13-0E131D7DD395}"/>
    <cellStyle name="عادي 2 2 9" xfId="84" xr:uid="{20CC95C6-9E7E-4647-85D2-4684355442BB}"/>
    <cellStyle name="عادي 2 3" xfId="37" xr:uid="{25FC6D04-33AC-44DB-97D4-02BEA29370AA}"/>
    <cellStyle name="عادي 2 3 2" xfId="57" xr:uid="{DE7A40F9-EC03-463D-8EC5-3D0D15894056}"/>
    <cellStyle name="عادي 2 3 2 2" xfId="98" xr:uid="{0F3FF58F-C36E-4D7F-A83B-DDD9D7EF472C}"/>
    <cellStyle name="عادي 2 3 3" xfId="95" xr:uid="{A3CE3C37-9D4B-4DD7-A012-696345100A53}"/>
    <cellStyle name="عادي 2 4" xfId="39" xr:uid="{1ADD5B13-5127-4632-BD09-60822F3F35CB}"/>
    <cellStyle name="عادي 2 5" xfId="55" xr:uid="{D4D7A1CE-9653-4862-BC59-0AE4F64E5E03}"/>
    <cellStyle name="عادي 2 6" xfId="28" xr:uid="{E1792458-B725-4A2F-BA92-CDB5C283DACD}"/>
    <cellStyle name="عادي 2 6 2" xfId="85" xr:uid="{226ED214-36F7-4650-9A52-81309C81D06E}"/>
    <cellStyle name="عادي 3" xfId="32" xr:uid="{7609251E-D5ED-4797-9801-2F412D7C3B6E}"/>
    <cellStyle name="عادي 3 2" xfId="40" xr:uid="{DB890831-9EE1-4B72-A018-80A55D6DD9B6}"/>
    <cellStyle name="عادي 3 2 2" xfId="96" xr:uid="{11E8DE48-BAF6-4C1D-96DB-F7067E94BC40}"/>
    <cellStyle name="عادي 3 3" xfId="58" xr:uid="{A8203D86-EC7E-4772-AE73-F5A9F131F257}"/>
    <cellStyle name="عادي 3 4" xfId="88" xr:uid="{480285E4-F941-4CFD-B7D6-F841BCD2E56D}"/>
    <cellStyle name="عادي 4" xfId="38" xr:uid="{D0606748-77DB-4697-9C4D-15F7CDED558A}"/>
    <cellStyle name="عادي 4 2" xfId="60" xr:uid="{88D4B895-978E-45DF-AC05-7F586064A758}"/>
    <cellStyle name="ملاحظة 2" xfId="35" xr:uid="{7B904DF7-E16E-497D-8B7A-9C7199F7BC49}"/>
  </cellStyles>
  <dxfs count="37">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8"/>
        <color auto="1"/>
        <name val="Frutiger LT Arabic 55 Roman"/>
        <scheme val="none"/>
      </font>
      <numFmt numFmtId="168" formatCode="_(* #,##0_);_(* \(#,##0\);_(* &quot;-&quot;??_);_(@_)"/>
      <fill>
        <patternFill patternType="solid">
          <fgColor indexed="64"/>
          <bgColor theme="0"/>
        </patternFill>
      </fill>
      <alignment horizontal="center" vertical="center" textRotation="0" wrapText="1" indent="0" justifyLastLine="0" shrinkToFit="1" readingOrder="0"/>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8"/>
        <color auto="1"/>
        <name val="Frutiger LT Arabic 55 Roman"/>
        <scheme val="none"/>
      </font>
      <numFmt numFmtId="168" formatCode="_(* #,##0_);_(* \(#,##0\);_(* &quot;-&quot;??_);_(@_)"/>
      <fill>
        <patternFill patternType="solid">
          <fgColor indexed="64"/>
          <bgColor theme="0"/>
        </patternFill>
      </fill>
      <alignment horizontal="center" vertical="center" textRotation="0" wrapText="1" indent="0" justifyLastLine="0" shrinkToFit="1"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Frutiger LT Arabic 55 Roman"/>
        <scheme val="none"/>
      </font>
      <numFmt numFmtId="168" formatCode="_(* #,##0_);_(* \(#,##0\);_(* &quot;-&quot;??_);_(@_)"/>
      <fill>
        <patternFill patternType="solid">
          <fgColor indexed="64"/>
          <bgColor theme="0"/>
        </patternFill>
      </fill>
      <alignment horizontal="center" vertical="center" textRotation="0" wrapText="1" indent="0" justifyLastLine="0" shrinkToFit="1"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Frutiger LT Arabic 55 Roman"/>
        <scheme val="none"/>
      </font>
      <numFmt numFmtId="4" formatCode="#,##0.00"/>
      <fill>
        <patternFill patternType="solid">
          <fgColor indexed="64"/>
          <bgColor theme="0"/>
        </patternFill>
      </fill>
      <alignment horizontal="center" vertical="center" textRotation="0" wrapText="1" indent="0" justifyLastLine="0" shrinkToFit="1" readingOrder="0"/>
      <border diagonalUp="0" diagonalDown="0">
        <left style="thin">
          <color theme="0"/>
        </left>
        <right/>
        <top style="thin">
          <color theme="0"/>
        </top>
        <bottom/>
        <vertical/>
        <horizontal/>
      </border>
    </dxf>
    <dxf>
      <font>
        <b/>
        <i val="0"/>
        <strike val="0"/>
        <condense val="0"/>
        <extend val="0"/>
        <outline val="0"/>
        <shadow val="0"/>
        <u val="none"/>
        <vertAlign val="baseline"/>
        <sz val="8"/>
        <color theme="0"/>
        <name val="Frutiger LT Arabic 55 Roman"/>
        <scheme val="none"/>
      </font>
      <numFmt numFmtId="0" formatCode="General"/>
      <fill>
        <patternFill patternType="solid">
          <fgColor indexed="64"/>
          <bgColor theme="3"/>
        </patternFill>
      </fill>
      <alignment horizontal="center" vertical="center" textRotation="0" wrapText="1" indent="0" justifyLastLine="0" shrinkToFit="1" readingOrder="1"/>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8"/>
        <color theme="0"/>
        <name val="Frutiger LT Arabic 55 Roman"/>
        <scheme val="none"/>
      </font>
      <fill>
        <patternFill patternType="solid">
          <fgColor indexed="64"/>
          <bgColor theme="7" tint="0.59999389629810485"/>
        </patternFill>
      </fill>
      <alignment horizontal="center" vertical="center" textRotation="0" wrapText="0" indent="0" justifyLastLine="0" shrinkToFit="1" readingOrder="0"/>
      <border diagonalUp="0" diagonalDown="0" outline="0">
        <left style="thin">
          <color theme="0"/>
        </left>
        <right/>
        <top style="thin">
          <color theme="0"/>
        </top>
        <bottom/>
      </border>
    </dxf>
    <dxf>
      <font>
        <b/>
        <i val="0"/>
        <strike val="0"/>
        <condense val="0"/>
        <extend val="0"/>
        <outline val="0"/>
        <shadow val="0"/>
        <u val="none"/>
        <vertAlign val="baseline"/>
        <sz val="8"/>
        <color theme="0"/>
        <name val="Frutiger LT Arabic 55 Roman"/>
        <scheme val="none"/>
      </font>
      <numFmt numFmtId="165" formatCode="0.0%"/>
      <fill>
        <patternFill patternType="solid">
          <fgColor indexed="64"/>
          <bgColor theme="5" tint="0.39997558519241921"/>
        </patternFill>
      </fill>
      <alignment horizontal="center" vertical="center" textRotation="0" wrapText="1" indent="0" justifyLastLine="0" shrinkToFit="1" readingOrder="0"/>
      <border diagonalUp="0" diagonalDown="0" outline="0">
        <left style="thin">
          <color theme="0"/>
        </left>
        <right/>
        <top style="thin">
          <color theme="0"/>
        </top>
        <bottom style="thin">
          <color theme="0"/>
        </bottom>
      </border>
    </dxf>
    <dxf>
      <font>
        <b/>
        <i val="0"/>
        <strike val="0"/>
        <condense val="0"/>
        <extend val="0"/>
        <outline val="0"/>
        <shadow val="0"/>
        <u val="none"/>
        <vertAlign val="baseline"/>
        <sz val="8"/>
        <color theme="0"/>
        <name val="Frutiger LT Arabic 55 Roman"/>
        <scheme val="none"/>
      </font>
      <numFmt numFmtId="165" formatCode="0.0%"/>
      <fill>
        <patternFill patternType="solid">
          <fgColor indexed="64"/>
          <bgColor theme="5" tint="0.59999389629810485"/>
        </patternFill>
      </fill>
      <alignment horizontal="center" vertical="center" textRotation="0" wrapText="1" indent="0" justifyLastLine="0" shrinkToFit="1"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theme="0"/>
        <name val="Frutiger LT Arabic 55 Roman"/>
        <scheme val="none"/>
      </font>
      <fill>
        <patternFill patternType="solid">
          <fgColor indexed="64"/>
          <bgColor rgb="FF8497B0"/>
        </patternFill>
      </fill>
      <alignment horizontal="center" vertical="center" textRotation="0" wrapText="0" indent="0" justifyLastLine="0" shrinkToFit="1"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auto="1"/>
        <name val="Frutiger LT Arabic 55 Roman"/>
        <scheme val="none"/>
      </font>
      <numFmt numFmtId="3" formatCode="#,##0"/>
      <fill>
        <patternFill patternType="solid">
          <fgColor indexed="64"/>
          <bgColor theme="4" tint="0.39997558519241921"/>
        </patternFill>
      </fill>
      <alignment horizontal="center" vertical="center" textRotation="0" wrapText="1" indent="0" justifyLastLine="0" shrinkToFit="1"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auto="1"/>
        <name val="Frutiger LT Arabic 55 Roman"/>
        <scheme val="none"/>
      </font>
      <numFmt numFmtId="3" formatCode="#,##0"/>
      <fill>
        <patternFill patternType="solid">
          <fgColor indexed="64"/>
          <bgColor theme="3" tint="0.79998168889431442"/>
        </patternFill>
      </fill>
      <alignment horizontal="center" vertical="center" textRotation="0" wrapText="1" indent="0" justifyLastLine="0" shrinkToFit="1" readingOrder="0"/>
      <border diagonalUp="0" diagonalDown="0" outline="0">
        <left style="thin">
          <color theme="0"/>
        </left>
        <right style="thin">
          <color theme="0"/>
        </right>
        <top style="thin">
          <color theme="0"/>
        </top>
        <bottom style="thin">
          <color theme="0"/>
        </bottom>
      </border>
    </dxf>
    <dxf>
      <numFmt numFmtId="14" formatCode="0.00%"/>
      <alignment horizontal="center" textRotation="0" indent="0" justifyLastLine="0" readingOrder="0"/>
    </dxf>
    <dxf>
      <alignment horizontal="center" textRotation="0" indent="0" justifyLastLine="0" readingOrder="0"/>
    </dxf>
    <dxf>
      <alignment horizontal="center" textRotation="0" indent="0" justifyLastLine="0" readingOrder="0"/>
    </dxf>
    <dxf>
      <font>
        <b val="0"/>
        <i val="0"/>
        <strike val="0"/>
        <condense val="0"/>
        <extend val="0"/>
        <outline val="0"/>
        <shadow val="0"/>
        <u val="none"/>
        <vertAlign val="baseline"/>
        <sz val="11"/>
        <color theme="2" tint="-0.749992370372631"/>
        <name val="Frutiger LT Arabic 55 Roman"/>
        <scheme val="none"/>
      </font>
      <fill>
        <patternFill patternType="solid">
          <fgColor indexed="64"/>
          <bgColor rgb="FFE8EBF0"/>
        </patternFill>
      </fill>
      <alignment horizontal="center" vertical="center" textRotation="0" wrapText="1" indent="0" justifyLastLine="0" shrinkToFit="0" readingOrder="0"/>
    </dxf>
    <dxf>
      <font>
        <strike val="0"/>
        <outline val="0"/>
        <shadow val="0"/>
        <u val="none"/>
        <vertAlign val="baseline"/>
        <sz val="11"/>
        <color theme="2" tint="-0.749992370372631"/>
        <name val="Frutiger LT Arabic 55 Roman"/>
        <scheme val="none"/>
      </font>
      <fill>
        <patternFill patternType="solid">
          <fgColor indexed="64"/>
          <bgColor rgb="FFE8EBF0"/>
        </patternFill>
      </fill>
      <alignment horizontal="right" vertical="center" textRotation="0" wrapText="1" indent="0" justifyLastLine="0" shrinkToFit="0" readingOrder="0"/>
    </dxf>
    <dxf>
      <font>
        <b val="0"/>
        <i val="0"/>
        <strike val="0"/>
        <condense val="0"/>
        <extend val="0"/>
        <outline val="0"/>
        <shadow val="0"/>
        <u val="none"/>
        <vertAlign val="baseline"/>
        <sz val="12"/>
        <color theme="0"/>
        <name val="Frutiger LT Arabic 55 Roman"/>
        <scheme val="none"/>
      </font>
      <fill>
        <patternFill patternType="solid">
          <fgColor indexed="64"/>
          <bgColor theme="3"/>
        </patternFill>
      </fill>
      <alignment horizontal="center" vertical="center" textRotation="0" wrapText="1" indent="0" justifyLastLine="0" shrinkToFit="0" readingOrder="0"/>
    </dxf>
  </dxfs>
  <tableStyles count="1" defaultTableStyle="TableStyleMedium2" defaultPivotStyle="PivotStyleLight16">
    <tableStyle name="Table Style 1" pivot="0" count="0" xr9:uid="{78BB3193-7636-4326-871A-81DC3AE238CA}"/>
  </tableStyles>
  <colors>
    <mruColors>
      <color rgb="FFCBA9E5"/>
      <color rgb="FFA3E7FF"/>
      <color rgb="FFD2EC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accent4">
                    <a:lumMod val="75000"/>
                  </a:schemeClr>
                </a:solidFill>
                <a:latin typeface="+mj-lt"/>
                <a:ea typeface="+mj-ea"/>
                <a:cs typeface="+mj-cs"/>
              </a:defRPr>
            </a:pPr>
            <a:r>
              <a:rPr lang="en-US" sz="1400" b="1">
                <a:solidFill>
                  <a:schemeClr val="tx1">
                    <a:lumMod val="50000"/>
                    <a:lumOff val="50000"/>
                  </a:schemeClr>
                </a:solidFill>
              </a:rPr>
              <a:t>Quartery</a:t>
            </a:r>
            <a:r>
              <a:rPr lang="en-US" sz="1400" b="1" baseline="0">
                <a:solidFill>
                  <a:schemeClr val="tx1">
                    <a:lumMod val="50000"/>
                    <a:lumOff val="50000"/>
                  </a:schemeClr>
                </a:solidFill>
              </a:rPr>
              <a:t> Room Occupancy Rates in Saudi Arabia (Hotels vs Apartments) 2023-2024</a:t>
            </a:r>
          </a:p>
          <a:p>
            <a:pPr>
              <a:defRPr>
                <a:solidFill>
                  <a:schemeClr val="accent4">
                    <a:lumMod val="75000"/>
                  </a:schemeClr>
                </a:solidFill>
              </a:defRPr>
            </a:pPr>
            <a:r>
              <a:rPr lang="ar-SA" sz="1200" b="1" baseline="0">
                <a:solidFill>
                  <a:schemeClr val="tx1">
                    <a:lumMod val="50000"/>
                    <a:lumOff val="50000"/>
                  </a:schemeClr>
                </a:solidFill>
              </a:rPr>
              <a:t>نسب انشغال الربع سنوية للفنادق والشقق في المملكة العربية السعودية 2023-2024</a:t>
            </a:r>
            <a:endParaRPr lang="ar-SA" sz="1200" b="1">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accent4">
                  <a:lumMod val="75000"/>
                </a:schemeClr>
              </a:solidFill>
              <a:latin typeface="+mj-lt"/>
              <a:ea typeface="+mj-ea"/>
              <a:cs typeface="+mj-cs"/>
            </a:defRPr>
          </a:pPr>
          <a:endParaRPr lang="en-US"/>
        </a:p>
      </c:txPr>
    </c:title>
    <c:autoTitleDeleted val="0"/>
    <c:plotArea>
      <c:layout/>
      <c:barChart>
        <c:barDir val="col"/>
        <c:grouping val="clustered"/>
        <c:varyColors val="0"/>
        <c:ser>
          <c:idx val="0"/>
          <c:order val="0"/>
          <c:tx>
            <c:strRef>
              <c:f>'Room Occupancy Rates'!$A$1</c:f>
              <c:strCache>
                <c:ptCount val="1"/>
                <c:pt idx="0">
                  <c:v>  Apartments Occupancy </c:v>
                </c:pt>
              </c:strCache>
            </c:strRef>
          </c:tx>
          <c:spPr>
            <a:solidFill>
              <a:schemeClr val="accent2">
                <a:alpha val="70000"/>
              </a:schemeClr>
            </a:solidFill>
            <a:ln>
              <a:noFill/>
            </a:ln>
            <a:effectLst/>
          </c:spPr>
          <c:invertIfNegative val="0"/>
          <c:dLbls>
            <c:dLbl>
              <c:idx val="0"/>
              <c:layout>
                <c:manualLayout>
                  <c:x val="-1.4262428687856561E-2"/>
                  <c:y val="3.8804811796662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0C2-478E-932C-32298485530D}"/>
                </c:ext>
              </c:extLst>
            </c:dLbl>
            <c:dLbl>
              <c:idx val="1"/>
              <c:layout>
                <c:manualLayout>
                  <c:x val="-2.0374898125509411E-2"/>
                  <c:y val="1.16414435389988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C2-478E-932C-32298485530D}"/>
                </c:ext>
              </c:extLst>
            </c:dLbl>
            <c:dLbl>
              <c:idx val="2"/>
              <c:layout>
                <c:manualLayout>
                  <c:x val="-1.0187449062754686E-2"/>
                  <c:y val="1.16414435389988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0C2-478E-932C-32298485530D}"/>
                </c:ext>
              </c:extLst>
            </c:dLbl>
            <c:dLbl>
              <c:idx val="3"/>
              <c:layout>
                <c:manualLayout>
                  <c:x val="-1.6299918500407497E-2"/>
                  <c:y val="1.5521924718665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C2-478E-932C-32298485530D}"/>
                </c:ext>
              </c:extLst>
            </c:dLbl>
            <c:dLbl>
              <c:idx val="4"/>
              <c:layout>
                <c:manualLayout>
                  <c:x val="-2.0374898125509373E-2"/>
                  <c:y val="7.760962359332486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0C2-478E-932C-32298485530D}"/>
                </c:ext>
              </c:extLst>
            </c:dLbl>
            <c:dLbl>
              <c:idx val="5"/>
              <c:layout>
                <c:manualLayout>
                  <c:x val="-2.2412387938060385E-2"/>
                  <c:y val="1.5521924718665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0C2-478E-932C-32298485530D}"/>
                </c:ext>
              </c:extLst>
            </c:dLbl>
            <c:dLbl>
              <c:idx val="7"/>
              <c:layout>
                <c:manualLayout>
                  <c:x val="-1.8337408312958586E-2"/>
                  <c:y val="1.5521924718665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C2-478E-932C-32298485530D}"/>
                </c:ext>
              </c:extLst>
            </c:dLbl>
            <c:spPr>
              <a:noFill/>
              <a:ln>
                <a:noFill/>
              </a:ln>
              <a:effectLst>
                <a:outerShdw blurRad="50800" dist="50800" dir="5400000" algn="ctr" rotWithShape="0">
                  <a:schemeClr val="bg1">
                    <a:alpha val="0"/>
                  </a:scheme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'Room Occupancy Rates'!$C$2:$C$9</c:f>
              <c:strCache>
                <c:ptCount val="8"/>
                <c:pt idx="0">
                  <c:v>Q1 of 2023</c:v>
                </c:pt>
                <c:pt idx="1">
                  <c:v>Q2 of 2023</c:v>
                </c:pt>
                <c:pt idx="2">
                  <c:v>Q3 of 2023</c:v>
                </c:pt>
                <c:pt idx="3">
                  <c:v>Q4 of 2023</c:v>
                </c:pt>
                <c:pt idx="4">
                  <c:v>Q1 of 2024</c:v>
                </c:pt>
                <c:pt idx="5">
                  <c:v>Q2 of 2024</c:v>
                </c:pt>
                <c:pt idx="6">
                  <c:v>Q3 of 2024</c:v>
                </c:pt>
                <c:pt idx="7">
                  <c:v>Q4 of 2024</c:v>
                </c:pt>
              </c:strCache>
            </c:strRef>
          </c:cat>
          <c:val>
            <c:numRef>
              <c:f>'Room Occupancy Rates'!$A$2:$A$9</c:f>
              <c:numCache>
                <c:formatCode>0.0%</c:formatCode>
                <c:ptCount val="8"/>
                <c:pt idx="0">
                  <c:v>0.5300695102593771</c:v>
                </c:pt>
                <c:pt idx="1">
                  <c:v>0.508742092844369</c:v>
                </c:pt>
                <c:pt idx="2">
                  <c:v>0.5624683298988471</c:v>
                </c:pt>
                <c:pt idx="3">
                  <c:v>0.55386037015377909</c:v>
                </c:pt>
                <c:pt idx="4">
                  <c:v>0.54460763043832539</c:v>
                </c:pt>
                <c:pt idx="5">
                  <c:v>0.52353589509802556</c:v>
                </c:pt>
                <c:pt idx="6">
                  <c:v>0.5795779464070433</c:v>
                </c:pt>
                <c:pt idx="7">
                  <c:v>0.55865316178156532</c:v>
                </c:pt>
              </c:numCache>
            </c:numRef>
          </c:val>
          <c:extLst>
            <c:ext xmlns:c16="http://schemas.microsoft.com/office/drawing/2014/chart" uri="{C3380CC4-5D6E-409C-BE32-E72D297353CC}">
              <c16:uniqueId val="{00000000-F0C2-478E-932C-32298485530D}"/>
            </c:ext>
          </c:extLst>
        </c:ser>
        <c:ser>
          <c:idx val="1"/>
          <c:order val="1"/>
          <c:tx>
            <c:strRef>
              <c:f>'Room Occupancy Rates'!$B$1</c:f>
              <c:strCache>
                <c:ptCount val="1"/>
                <c:pt idx="0">
                  <c:v>  Hotels Occupancy</c:v>
                </c:pt>
              </c:strCache>
            </c:strRef>
          </c:tx>
          <c:spPr>
            <a:solidFill>
              <a:schemeClr val="accent4">
                <a:alpha val="70000"/>
              </a:schemeClr>
            </a:solidFill>
            <a:ln>
              <a:noFill/>
            </a:ln>
            <a:effectLst/>
          </c:spPr>
          <c:invertIfNegative val="0"/>
          <c:dLbls>
            <c:dLbl>
              <c:idx val="0"/>
              <c:layout>
                <c:manualLayout>
                  <c:x val="1.4262428687856541E-2"/>
                  <c:y val="1.94024058983313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0C2-478E-932C-32298485530D}"/>
                </c:ext>
              </c:extLst>
            </c:dLbl>
            <c:dLbl>
              <c:idx val="1"/>
              <c:layout>
                <c:manualLayout>
                  <c:x val="1.2224938875305624E-2"/>
                  <c:y val="1.16414435389988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0C2-478E-932C-32298485530D}"/>
                </c:ext>
              </c:extLst>
            </c:dLbl>
            <c:dLbl>
              <c:idx val="2"/>
              <c:layout>
                <c:manualLayout>
                  <c:x val="2.0374898125509373E-2"/>
                  <c:y val="1.5521924718665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C2-478E-932C-32298485530D}"/>
                </c:ext>
              </c:extLst>
            </c:dLbl>
            <c:dLbl>
              <c:idx val="3"/>
              <c:layout>
                <c:manualLayout>
                  <c:x val="1.8337408312958436E-2"/>
                  <c:y val="1.5521924718665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0C2-478E-932C-32298485530D}"/>
                </c:ext>
              </c:extLst>
            </c:dLbl>
            <c:dLbl>
              <c:idx val="4"/>
              <c:layout>
                <c:manualLayout>
                  <c:x val="8.1499592502036738E-3"/>
                  <c:y val="1.94024058983313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0C2-478E-932C-32298485530D}"/>
                </c:ext>
              </c:extLst>
            </c:dLbl>
            <c:dLbl>
              <c:idx val="5"/>
              <c:layout>
                <c:manualLayout>
                  <c:x val="1.6299918500407497E-2"/>
                  <c:y val="1.16414435389988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0C2-478E-932C-32298485530D}"/>
                </c:ext>
              </c:extLst>
            </c:dLbl>
            <c:dLbl>
              <c:idx val="6"/>
              <c:layout>
                <c:manualLayout>
                  <c:x val="2.2412387938060309E-2"/>
                  <c:y val="3.8804811796662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0C2-478E-932C-32298485530D}"/>
                </c:ext>
              </c:extLst>
            </c:dLbl>
            <c:dLbl>
              <c:idx val="7"/>
              <c:layout>
                <c:manualLayout>
                  <c:x val="2.0374898125509223E-2"/>
                  <c:y val="1.94024058983313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C2-478E-932C-32298485530D}"/>
                </c:ext>
              </c:extLst>
            </c:dLbl>
            <c:spPr>
              <a:noFill/>
              <a:ln>
                <a:noFill/>
              </a:ln>
              <a:effectLst>
                <a:outerShdw blurRad="50800" dist="50800" dir="5400000" algn="ctr" rotWithShape="0">
                  <a:schemeClr val="bg1">
                    <a:alpha val="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'Room Occupancy Rates'!$C$2:$C$9</c:f>
              <c:strCache>
                <c:ptCount val="8"/>
                <c:pt idx="0">
                  <c:v>Q1 of 2023</c:v>
                </c:pt>
                <c:pt idx="1">
                  <c:v>Q2 of 2023</c:v>
                </c:pt>
                <c:pt idx="2">
                  <c:v>Q3 of 2023</c:v>
                </c:pt>
                <c:pt idx="3">
                  <c:v>Q4 of 2023</c:v>
                </c:pt>
                <c:pt idx="4">
                  <c:v>Q1 of 2024</c:v>
                </c:pt>
                <c:pt idx="5">
                  <c:v>Q2 of 2024</c:v>
                </c:pt>
                <c:pt idx="6">
                  <c:v>Q3 of 2024</c:v>
                </c:pt>
                <c:pt idx="7">
                  <c:v>Q4 of 2024</c:v>
                </c:pt>
              </c:strCache>
            </c:strRef>
          </c:cat>
          <c:val>
            <c:numRef>
              <c:f>'Room Occupancy Rates'!$B$2:$B$9</c:f>
              <c:numCache>
                <c:formatCode>0.0%</c:formatCode>
                <c:ptCount val="8"/>
                <c:pt idx="0">
                  <c:v>0.63209641256950566</c:v>
                </c:pt>
                <c:pt idx="1">
                  <c:v>0.54873567213195651</c:v>
                </c:pt>
                <c:pt idx="2">
                  <c:v>0.53386953099440593</c:v>
                </c:pt>
                <c:pt idx="3">
                  <c:v>0.6020428889579027</c:v>
                </c:pt>
                <c:pt idx="4">
                  <c:v>0.60916603339764586</c:v>
                </c:pt>
                <c:pt idx="5">
                  <c:v>0.55418166864552643</c:v>
                </c:pt>
                <c:pt idx="6">
                  <c:v>0.46130983553685667</c:v>
                </c:pt>
                <c:pt idx="7">
                  <c:v>0.55953774737260131</c:v>
                </c:pt>
              </c:numCache>
            </c:numRef>
          </c:val>
          <c:extLst>
            <c:ext xmlns:c16="http://schemas.microsoft.com/office/drawing/2014/chart" uri="{C3380CC4-5D6E-409C-BE32-E72D297353CC}">
              <c16:uniqueId val="{00000001-F0C2-478E-932C-32298485530D}"/>
            </c:ext>
          </c:extLst>
        </c:ser>
        <c:ser>
          <c:idx val="2"/>
          <c:order val="2"/>
          <c:tx>
            <c:strRef>
              <c:f>'Room Occupancy Rates'!$C$1</c:f>
              <c:strCache>
                <c:ptCount val="1"/>
                <c:pt idx="0">
                  <c:v>Quarter</c:v>
                </c:pt>
              </c:strCache>
            </c:strRef>
          </c:tx>
          <c:spPr>
            <a:solidFill>
              <a:schemeClr val="accent6">
                <a:alpha val="70000"/>
              </a:schemeClr>
            </a:solidFill>
            <a:ln>
              <a:noFill/>
            </a:ln>
            <a:effectLst/>
          </c:spPr>
          <c:invertIfNegative val="0"/>
          <c:cat>
            <c:strRef>
              <c:f>'Room Occupancy Rates'!$C$2:$C$9</c:f>
              <c:strCache>
                <c:ptCount val="8"/>
                <c:pt idx="0">
                  <c:v>Q1 of 2023</c:v>
                </c:pt>
                <c:pt idx="1">
                  <c:v>Q2 of 2023</c:v>
                </c:pt>
                <c:pt idx="2">
                  <c:v>Q3 of 2023</c:v>
                </c:pt>
                <c:pt idx="3">
                  <c:v>Q4 of 2023</c:v>
                </c:pt>
                <c:pt idx="4">
                  <c:v>Q1 of 2024</c:v>
                </c:pt>
                <c:pt idx="5">
                  <c:v>Q2 of 2024</c:v>
                </c:pt>
                <c:pt idx="6">
                  <c:v>Q3 of 2024</c:v>
                </c:pt>
                <c:pt idx="7">
                  <c:v>Q4 of 2024</c:v>
                </c:pt>
              </c:strCache>
            </c:strRef>
          </c:cat>
          <c:val>
            <c:numRef>
              <c:f>'Room Occupancy Rates'!$C$2:$C$9</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F0C2-478E-932C-32298485530D}"/>
            </c:ext>
          </c:extLst>
        </c:ser>
        <c:dLbls>
          <c:showLegendKey val="0"/>
          <c:showVal val="0"/>
          <c:showCatName val="0"/>
          <c:showSerName val="0"/>
          <c:showPercent val="0"/>
          <c:showBubbleSize val="0"/>
        </c:dLbls>
        <c:gapWidth val="80"/>
        <c:overlap val="25"/>
        <c:axId val="1754096911"/>
        <c:axId val="1754105551"/>
      </c:barChart>
      <c:catAx>
        <c:axId val="175409691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54105551"/>
        <c:crosses val="autoZero"/>
        <c:auto val="1"/>
        <c:lblAlgn val="ctr"/>
        <c:lblOffset val="100"/>
        <c:noMultiLvlLbl val="0"/>
      </c:catAx>
      <c:valAx>
        <c:axId val="1754105551"/>
        <c:scaling>
          <c:orientation val="minMax"/>
        </c:scaling>
        <c:delete val="0"/>
        <c:axPos val="l"/>
        <c:majorGridlines>
          <c:spPr>
            <a:ln w="9525" cap="flat" cmpd="sng" algn="ctr">
              <a:solidFill>
                <a:schemeClr val="tx1">
                  <a:lumMod val="5000"/>
                  <a:lumOff val="9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54096911"/>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cap="all" baseline="0">
                <a:solidFill>
                  <a:schemeClr val="tx2"/>
                </a:solidFill>
              </a:rPr>
              <a:t>Number of Saudi employees by gender and activity, Q4 of 2024</a:t>
            </a:r>
          </a:p>
        </c:rich>
      </c:tx>
      <c:layout>
        <c:manualLayout>
          <c:xMode val="edge"/>
          <c:yMode val="edge"/>
          <c:x val="0.16865569688404333"/>
          <c:y val="3.2237705217296062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ar-SA"/>
        </a:p>
      </c:txPr>
    </c:title>
    <c:autoTitleDeleted val="0"/>
    <c:plotArea>
      <c:layout>
        <c:manualLayout>
          <c:layoutTarget val="inner"/>
          <c:xMode val="edge"/>
          <c:yMode val="edge"/>
          <c:x val="0.36128423850864794"/>
          <c:y val="0.15392307363471683"/>
          <c:w val="0.58324281580187098"/>
          <c:h val="0.75193844913664631"/>
        </c:manualLayout>
      </c:layout>
      <c:barChart>
        <c:barDir val="bar"/>
        <c:grouping val="percentStacked"/>
        <c:varyColors val="0"/>
        <c:ser>
          <c:idx val="0"/>
          <c:order val="0"/>
          <c:tx>
            <c:strRef>
              <c:f>'2.1'!$C$4</c:f>
              <c:strCache>
                <c:ptCount val="1"/>
                <c:pt idx="0">
                  <c:v>Males</c:v>
                </c:pt>
              </c:strCache>
            </c:strRef>
          </c:tx>
          <c:spPr>
            <a:solidFill>
              <a:srgbClr val="0070C0"/>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spc="0" baseline="0">
                    <a:solidFill>
                      <a:schemeClr val="bg1"/>
                    </a:solidFill>
                    <a:latin typeface="Frutiger LT 55 Roman" panose="02000503040000020004" pitchFamily="2" charset="0"/>
                    <a:ea typeface="+mn-ea"/>
                    <a:cs typeface="+mn-cs"/>
                  </a:defRPr>
                </a:pPr>
                <a:endParaRPr lang="ar-SA"/>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'2.1'!$B$5:$B$16</c:f>
              <c:strCache>
                <c:ptCount val="12"/>
                <c:pt idx="0">
                  <c:v>Accommodation for visitors</c:v>
                </c:pt>
                <c:pt idx="1">
                  <c:v>Food and beverage serving activities</c:v>
                </c:pt>
                <c:pt idx="2">
                  <c:v>Railway passenger transport</c:v>
                </c:pt>
                <c:pt idx="3">
                  <c:v>Road passenger transport</c:v>
                </c:pt>
                <c:pt idx="4">
                  <c:v>Water passenger transport</c:v>
                </c:pt>
                <c:pt idx="5">
                  <c:v>Air passenger transport</c:v>
                </c:pt>
                <c:pt idx="6">
                  <c:v>Transport equipment rental</c:v>
                </c:pt>
                <c:pt idx="7">
                  <c:v>Travel agencies and other reservation services activities</c:v>
                </c:pt>
                <c:pt idx="8">
                  <c:v>Cultural activities</c:v>
                </c:pt>
                <c:pt idx="9">
                  <c:v>Sports and recreational activities</c:v>
                </c:pt>
                <c:pt idx="10">
                  <c:v>Other tourism characteristic services in the country</c:v>
                </c:pt>
                <c:pt idx="11">
                  <c:v>Retail trade of tourism characteristic goods in the country</c:v>
                </c:pt>
              </c:strCache>
            </c:strRef>
          </c:cat>
          <c:val>
            <c:numRef>
              <c:f>'2.1'!$C$5:$C$16</c:f>
              <c:numCache>
                <c:formatCode>#,##0</c:formatCode>
                <c:ptCount val="12"/>
                <c:pt idx="0">
                  <c:v>31177</c:v>
                </c:pt>
                <c:pt idx="1">
                  <c:v>55390</c:v>
                </c:pt>
                <c:pt idx="2">
                  <c:v>3517</c:v>
                </c:pt>
                <c:pt idx="3">
                  <c:v>3754</c:v>
                </c:pt>
                <c:pt idx="4">
                  <c:v>402</c:v>
                </c:pt>
                <c:pt idx="5">
                  <c:v>12305</c:v>
                </c:pt>
                <c:pt idx="6">
                  <c:v>7033</c:v>
                </c:pt>
                <c:pt idx="7">
                  <c:v>3941</c:v>
                </c:pt>
                <c:pt idx="8">
                  <c:v>1200</c:v>
                </c:pt>
                <c:pt idx="9">
                  <c:v>2050</c:v>
                </c:pt>
                <c:pt idx="10">
                  <c:v>4664</c:v>
                </c:pt>
                <c:pt idx="11">
                  <c:v>5814</c:v>
                </c:pt>
              </c:numCache>
            </c:numRef>
          </c:val>
          <c:extLst>
            <c:ext xmlns:c16="http://schemas.microsoft.com/office/drawing/2014/chart" uri="{C3380CC4-5D6E-409C-BE32-E72D297353CC}">
              <c16:uniqueId val="{00000000-7FC6-4D9E-938F-C2F814EBA739}"/>
            </c:ext>
          </c:extLst>
        </c:ser>
        <c:ser>
          <c:idx val="1"/>
          <c:order val="1"/>
          <c:tx>
            <c:strRef>
              <c:f>'2.1'!$D$4</c:f>
              <c:strCache>
                <c:ptCount val="1"/>
                <c:pt idx="0">
                  <c:v>Females</c:v>
                </c:pt>
              </c:strCache>
            </c:strRef>
          </c:tx>
          <c:spPr>
            <a:solidFill>
              <a:schemeClr val="accent5">
                <a:lumMod val="60000"/>
                <a:lumOff val="40000"/>
              </a:schemeClr>
            </a:solidFill>
            <a:ln>
              <a:noFill/>
            </a:ln>
            <a:effectLst>
              <a:outerShdw blurRad="63500" sx="102000" sy="102000" algn="ctr" rotWithShape="0">
                <a:prstClr val="black">
                  <a:alpha val="20000"/>
                </a:prst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spc="0" baseline="0">
                    <a:solidFill>
                      <a:schemeClr val="bg1"/>
                    </a:solidFill>
                    <a:latin typeface="Frutiger LT 55 Roman" panose="02000503040000020004" pitchFamily="2" charset="0"/>
                    <a:ea typeface="+mn-ea"/>
                    <a:cs typeface="+mn-cs"/>
                  </a:defRPr>
                </a:pPr>
                <a:endParaRPr lang="ar-SA"/>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'2.1'!$B$5:$B$16</c:f>
              <c:strCache>
                <c:ptCount val="12"/>
                <c:pt idx="0">
                  <c:v>Accommodation for visitors</c:v>
                </c:pt>
                <c:pt idx="1">
                  <c:v>Food and beverage serving activities</c:v>
                </c:pt>
                <c:pt idx="2">
                  <c:v>Railway passenger transport</c:v>
                </c:pt>
                <c:pt idx="3">
                  <c:v>Road passenger transport</c:v>
                </c:pt>
                <c:pt idx="4">
                  <c:v>Water passenger transport</c:v>
                </c:pt>
                <c:pt idx="5">
                  <c:v>Air passenger transport</c:v>
                </c:pt>
                <c:pt idx="6">
                  <c:v>Transport equipment rental</c:v>
                </c:pt>
                <c:pt idx="7">
                  <c:v>Travel agencies and other reservation services activities</c:v>
                </c:pt>
                <c:pt idx="8">
                  <c:v>Cultural activities</c:v>
                </c:pt>
                <c:pt idx="9">
                  <c:v>Sports and recreational activities</c:v>
                </c:pt>
                <c:pt idx="10">
                  <c:v>Other tourism characteristic services in the country</c:v>
                </c:pt>
                <c:pt idx="11">
                  <c:v>Retail trade of tourism characteristic goods in the country</c:v>
                </c:pt>
              </c:strCache>
            </c:strRef>
          </c:cat>
          <c:val>
            <c:numRef>
              <c:f>'2.1'!$D$5:$D$16</c:f>
              <c:numCache>
                <c:formatCode>#,##0</c:formatCode>
                <c:ptCount val="12"/>
                <c:pt idx="0">
                  <c:v>20073</c:v>
                </c:pt>
                <c:pt idx="1">
                  <c:v>60884</c:v>
                </c:pt>
                <c:pt idx="2">
                  <c:v>189</c:v>
                </c:pt>
                <c:pt idx="3">
                  <c:v>2832</c:v>
                </c:pt>
                <c:pt idx="4">
                  <c:v>220</c:v>
                </c:pt>
                <c:pt idx="5">
                  <c:v>1024</c:v>
                </c:pt>
                <c:pt idx="6">
                  <c:v>1543</c:v>
                </c:pt>
                <c:pt idx="7">
                  <c:v>3250</c:v>
                </c:pt>
                <c:pt idx="8">
                  <c:v>798</c:v>
                </c:pt>
                <c:pt idx="9">
                  <c:v>3113</c:v>
                </c:pt>
                <c:pt idx="10">
                  <c:v>3807</c:v>
                </c:pt>
                <c:pt idx="11">
                  <c:v>13093</c:v>
                </c:pt>
              </c:numCache>
            </c:numRef>
          </c:val>
          <c:extLst>
            <c:ext xmlns:c16="http://schemas.microsoft.com/office/drawing/2014/chart" uri="{C3380CC4-5D6E-409C-BE32-E72D297353CC}">
              <c16:uniqueId val="{00000001-7FC6-4D9E-938F-C2F814EBA739}"/>
            </c:ext>
          </c:extLst>
        </c:ser>
        <c:dLbls>
          <c:showLegendKey val="0"/>
          <c:showVal val="0"/>
          <c:showCatName val="0"/>
          <c:showSerName val="0"/>
          <c:showPercent val="0"/>
          <c:showBubbleSize val="0"/>
        </c:dLbls>
        <c:gapWidth val="44"/>
        <c:overlap val="100"/>
        <c:axId val="271222303"/>
        <c:axId val="184779727"/>
      </c:barChart>
      <c:valAx>
        <c:axId val="184779727"/>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71222303"/>
        <c:crosses val="autoZero"/>
        <c:crossBetween val="between"/>
      </c:valAx>
      <c:catAx>
        <c:axId val="271222303"/>
        <c:scaling>
          <c:orientation val="maxMin"/>
        </c:scaling>
        <c:delete val="0"/>
        <c:axPos val="l"/>
        <c:numFmt formatCode="General" sourceLinked="1"/>
        <c:majorTickMark val="out"/>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legend>
      <c:legendPos val="r"/>
      <c:layout>
        <c:manualLayout>
          <c:xMode val="edge"/>
          <c:yMode val="edge"/>
          <c:x val="0.26215929739551785"/>
          <c:y val="0.9242076695590794"/>
          <c:w val="0.48652920788747561"/>
          <c:h val="7.5717748991162293E-2"/>
        </c:manualLayout>
      </c:layout>
      <c:overlay val="0"/>
      <c:spPr>
        <a:noFill/>
        <a:ln>
          <a:noFill/>
        </a:ln>
        <a:effectLst/>
      </c:spPr>
      <c:txPr>
        <a:bodyPr rot="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cap="all" baseline="0">
                <a:solidFill>
                  <a:schemeClr val="tx2"/>
                </a:solidFill>
              </a:rPr>
              <a:t>Number of non-Saudi employees by gender and activity, Q4 of 2024</a:t>
            </a:r>
          </a:p>
        </c:rich>
      </c:tx>
      <c:layout>
        <c:manualLayout>
          <c:xMode val="edge"/>
          <c:yMode val="edge"/>
          <c:x val="0.12424843529174238"/>
          <c:y val="4.0649120248857779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ar-SA"/>
        </a:p>
      </c:txPr>
    </c:title>
    <c:autoTitleDeleted val="0"/>
    <c:plotArea>
      <c:layout>
        <c:manualLayout>
          <c:layoutTarget val="inner"/>
          <c:xMode val="edge"/>
          <c:yMode val="edge"/>
          <c:x val="0.35033733764048719"/>
          <c:y val="0.15739165313240436"/>
          <c:w val="0.59703664445790428"/>
          <c:h val="0.74846971823842889"/>
        </c:manualLayout>
      </c:layout>
      <c:barChart>
        <c:barDir val="bar"/>
        <c:grouping val="percentStacked"/>
        <c:varyColors val="0"/>
        <c:ser>
          <c:idx val="0"/>
          <c:order val="0"/>
          <c:tx>
            <c:strRef>
              <c:f>'2.2'!$C$4</c:f>
              <c:strCache>
                <c:ptCount val="1"/>
                <c:pt idx="0">
                  <c:v>Males</c:v>
                </c:pt>
              </c:strCache>
            </c:strRef>
          </c:tx>
          <c:spPr>
            <a:solidFill>
              <a:srgbClr val="0070C0"/>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Frutiger LT 55 Roman" panose="02000503040000020004" pitchFamily="2" charset="0"/>
                    <a:ea typeface="+mn-ea"/>
                    <a:cs typeface="+mn-cs"/>
                  </a:defRPr>
                </a:pPr>
                <a:endParaRPr lang="ar-SA"/>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'2.2'!$B$5:$B$16</c:f>
              <c:strCache>
                <c:ptCount val="12"/>
                <c:pt idx="0">
                  <c:v>Accommodation for visitors</c:v>
                </c:pt>
                <c:pt idx="1">
                  <c:v>Food and beverage serving activities</c:v>
                </c:pt>
                <c:pt idx="2">
                  <c:v>Railway passenger transport</c:v>
                </c:pt>
                <c:pt idx="3">
                  <c:v>Road passenger transport</c:v>
                </c:pt>
                <c:pt idx="4">
                  <c:v>Water passenger transport</c:v>
                </c:pt>
                <c:pt idx="5">
                  <c:v>Air passenger transport</c:v>
                </c:pt>
                <c:pt idx="6">
                  <c:v>Transport equipment rental</c:v>
                </c:pt>
                <c:pt idx="7">
                  <c:v>Travel agencies and other reservation services activities</c:v>
                </c:pt>
                <c:pt idx="8">
                  <c:v>Cultural activities</c:v>
                </c:pt>
                <c:pt idx="9">
                  <c:v>Sports and recreational activities</c:v>
                </c:pt>
                <c:pt idx="10">
                  <c:v>Other tourism characteristic services in the country</c:v>
                </c:pt>
                <c:pt idx="11">
                  <c:v>Retail trade of tourism characteristic goods in the country</c:v>
                </c:pt>
              </c:strCache>
            </c:strRef>
          </c:cat>
          <c:val>
            <c:numRef>
              <c:f>'2.2'!$C$5:$C$16</c:f>
              <c:numCache>
                <c:formatCode>#,##0</c:formatCode>
                <c:ptCount val="12"/>
                <c:pt idx="0">
                  <c:v>78552</c:v>
                </c:pt>
                <c:pt idx="1">
                  <c:v>514816</c:v>
                </c:pt>
                <c:pt idx="2">
                  <c:v>589</c:v>
                </c:pt>
                <c:pt idx="3">
                  <c:v>24346</c:v>
                </c:pt>
                <c:pt idx="4">
                  <c:v>943</c:v>
                </c:pt>
                <c:pt idx="5">
                  <c:v>2184</c:v>
                </c:pt>
                <c:pt idx="6">
                  <c:v>11724</c:v>
                </c:pt>
                <c:pt idx="7">
                  <c:v>13044</c:v>
                </c:pt>
                <c:pt idx="8">
                  <c:v>1464</c:v>
                </c:pt>
                <c:pt idx="9">
                  <c:v>7729</c:v>
                </c:pt>
                <c:pt idx="10">
                  <c:v>9261</c:v>
                </c:pt>
                <c:pt idx="11">
                  <c:v>42073</c:v>
                </c:pt>
              </c:numCache>
            </c:numRef>
          </c:val>
          <c:extLst>
            <c:ext xmlns:c16="http://schemas.microsoft.com/office/drawing/2014/chart" uri="{C3380CC4-5D6E-409C-BE32-E72D297353CC}">
              <c16:uniqueId val="{00000000-1F79-46EC-9A7E-D6ED330AE020}"/>
            </c:ext>
          </c:extLst>
        </c:ser>
        <c:ser>
          <c:idx val="1"/>
          <c:order val="1"/>
          <c:tx>
            <c:strRef>
              <c:f>'2.2'!$D$4</c:f>
              <c:strCache>
                <c:ptCount val="1"/>
                <c:pt idx="0">
                  <c:v>Females</c:v>
                </c:pt>
              </c:strCache>
            </c:strRef>
          </c:tx>
          <c:spPr>
            <a:solidFill>
              <a:schemeClr val="accent5">
                <a:lumMod val="60000"/>
                <a:lumOff val="40000"/>
              </a:schemeClr>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spc="0" baseline="0">
                    <a:solidFill>
                      <a:schemeClr val="bg1"/>
                    </a:solidFill>
                    <a:latin typeface="Frutiger LT 55 Roman" panose="02000503040000020004" pitchFamily="2" charset="0"/>
                    <a:ea typeface="+mn-ea"/>
                    <a:cs typeface="+mn-cs"/>
                  </a:defRPr>
                </a:pPr>
                <a:endParaRPr lang="ar-SA"/>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'2.2'!$B$5:$B$16</c:f>
              <c:strCache>
                <c:ptCount val="12"/>
                <c:pt idx="0">
                  <c:v>Accommodation for visitors</c:v>
                </c:pt>
                <c:pt idx="1">
                  <c:v>Food and beverage serving activities</c:v>
                </c:pt>
                <c:pt idx="2">
                  <c:v>Railway passenger transport</c:v>
                </c:pt>
                <c:pt idx="3">
                  <c:v>Road passenger transport</c:v>
                </c:pt>
                <c:pt idx="4">
                  <c:v>Water passenger transport</c:v>
                </c:pt>
                <c:pt idx="5">
                  <c:v>Air passenger transport</c:v>
                </c:pt>
                <c:pt idx="6">
                  <c:v>Transport equipment rental</c:v>
                </c:pt>
                <c:pt idx="7">
                  <c:v>Travel agencies and other reservation services activities</c:v>
                </c:pt>
                <c:pt idx="8">
                  <c:v>Cultural activities</c:v>
                </c:pt>
                <c:pt idx="9">
                  <c:v>Sports and recreational activities</c:v>
                </c:pt>
                <c:pt idx="10">
                  <c:v>Other tourism characteristic services in the country</c:v>
                </c:pt>
                <c:pt idx="11">
                  <c:v>Retail trade of tourism characteristic goods in the country</c:v>
                </c:pt>
              </c:strCache>
            </c:strRef>
          </c:cat>
          <c:val>
            <c:numRef>
              <c:f>'2.2'!$D$5:$D$16</c:f>
              <c:numCache>
                <c:formatCode>#,##0</c:formatCode>
                <c:ptCount val="12"/>
                <c:pt idx="0">
                  <c:v>2112</c:v>
                </c:pt>
                <c:pt idx="1">
                  <c:v>6801</c:v>
                </c:pt>
                <c:pt idx="2">
                  <c:v>2</c:v>
                </c:pt>
                <c:pt idx="3">
                  <c:v>114</c:v>
                </c:pt>
                <c:pt idx="4">
                  <c:v>25</c:v>
                </c:pt>
                <c:pt idx="5">
                  <c:v>5186</c:v>
                </c:pt>
                <c:pt idx="6">
                  <c:v>45</c:v>
                </c:pt>
                <c:pt idx="7">
                  <c:v>515</c:v>
                </c:pt>
                <c:pt idx="8">
                  <c:v>136</c:v>
                </c:pt>
                <c:pt idx="9">
                  <c:v>643</c:v>
                </c:pt>
                <c:pt idx="10">
                  <c:v>844</c:v>
                </c:pt>
                <c:pt idx="11">
                  <c:v>1310</c:v>
                </c:pt>
              </c:numCache>
            </c:numRef>
          </c:val>
          <c:extLst>
            <c:ext xmlns:c16="http://schemas.microsoft.com/office/drawing/2014/chart" uri="{C3380CC4-5D6E-409C-BE32-E72D297353CC}">
              <c16:uniqueId val="{00000001-1F79-46EC-9A7E-D6ED330AE020}"/>
            </c:ext>
          </c:extLst>
        </c:ser>
        <c:dLbls>
          <c:dLblPos val="ctr"/>
          <c:showLegendKey val="0"/>
          <c:showVal val="1"/>
          <c:showCatName val="0"/>
          <c:showSerName val="0"/>
          <c:showPercent val="0"/>
          <c:showBubbleSize val="0"/>
        </c:dLbls>
        <c:gapWidth val="44"/>
        <c:overlap val="100"/>
        <c:axId val="271222303"/>
        <c:axId val="184779727"/>
      </c:barChart>
      <c:valAx>
        <c:axId val="184779727"/>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71222303"/>
        <c:crosses val="autoZero"/>
        <c:crossBetween val="between"/>
      </c:valAx>
      <c:catAx>
        <c:axId val="271222303"/>
        <c:scaling>
          <c:orientation val="maxMin"/>
        </c:scaling>
        <c:delete val="0"/>
        <c:axPos val="l"/>
        <c:numFmt formatCode="General" sourceLinked="1"/>
        <c:majorTickMark val="out"/>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legend>
      <c:legendPos val="r"/>
      <c:layout>
        <c:manualLayout>
          <c:xMode val="edge"/>
          <c:yMode val="edge"/>
          <c:x val="0.34345246071867008"/>
          <c:y val="0.92420760164657534"/>
          <c:w val="0.38169523358022561"/>
          <c:h val="7.5717748991162293E-2"/>
        </c:manualLayout>
      </c:layout>
      <c:overlay val="0"/>
      <c:spPr>
        <a:noFill/>
        <a:ln>
          <a:noFill/>
        </a:ln>
        <a:effectLst/>
      </c:spPr>
      <c:txPr>
        <a:bodyPr rot="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legend>
    <c:plotVisOnly val="1"/>
    <c:dispBlanksAs val="gap"/>
    <c:showDLblsOverMax val="0"/>
  </c:chart>
  <c:spPr>
    <a:solidFill>
      <a:schemeClr val="bg1"/>
    </a:solidFill>
    <a:ln w="9525" cap="flat" cmpd="sng" algn="ctr">
      <a:solidFill>
        <a:schemeClr val="tx1">
          <a:lumMod val="65000"/>
          <a:lumOff val="35000"/>
        </a:schemeClr>
      </a:solidFill>
      <a:round/>
    </a:ln>
    <a:effectLst/>
  </c:spPr>
  <c:txPr>
    <a:bodyPr/>
    <a:lstStyle/>
    <a:p>
      <a:pPr>
        <a:defRPr/>
      </a:pPr>
      <a:endParaRPr lang="ar-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cap="all" baseline="0">
                <a:solidFill>
                  <a:schemeClr val="tx2"/>
                </a:solidFill>
              </a:rPr>
              <a:t>Total number of employees by gender and activity (number), Q4 of 2024</a:t>
            </a:r>
          </a:p>
        </c:rich>
      </c:tx>
      <c:layout>
        <c:manualLayout>
          <c:xMode val="edge"/>
          <c:yMode val="edge"/>
          <c:x val="0.14524459708493886"/>
          <c:y val="2.904333216309745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en-US"/>
        </a:p>
      </c:txPr>
    </c:title>
    <c:autoTitleDeleted val="0"/>
    <c:plotArea>
      <c:layout>
        <c:manualLayout>
          <c:layoutTarget val="inner"/>
          <c:xMode val="edge"/>
          <c:yMode val="edge"/>
          <c:x val="0.33718470287367924"/>
          <c:y val="0.15083673568581704"/>
          <c:w val="0.6007064741907262"/>
          <c:h val="0.75502478856809563"/>
        </c:manualLayout>
      </c:layout>
      <c:barChart>
        <c:barDir val="bar"/>
        <c:grouping val="percentStacked"/>
        <c:varyColors val="0"/>
        <c:ser>
          <c:idx val="0"/>
          <c:order val="0"/>
          <c:tx>
            <c:strRef>
              <c:f>'2.3'!$C$4</c:f>
              <c:strCache>
                <c:ptCount val="1"/>
                <c:pt idx="0">
                  <c:v>Males </c:v>
                </c:pt>
              </c:strCache>
            </c:strRef>
          </c:tx>
          <c:spPr>
            <a:solidFill>
              <a:srgbClr val="0070C0"/>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Frutiger LT 55 Roman" panose="02000503040000020004" pitchFamily="2" charset="0"/>
                    <a:ea typeface="+mn-ea"/>
                    <a:cs typeface="+mn-cs"/>
                  </a:defRPr>
                </a:pPr>
                <a:endParaRPr lang="ar-SA"/>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'2.3'!$B$5:$B$16</c:f>
              <c:strCache>
                <c:ptCount val="12"/>
                <c:pt idx="0">
                  <c:v>Accommodation for visitors</c:v>
                </c:pt>
                <c:pt idx="1">
                  <c:v>Food and beverage serving activities</c:v>
                </c:pt>
                <c:pt idx="2">
                  <c:v>Railway passenger transport</c:v>
                </c:pt>
                <c:pt idx="3">
                  <c:v>Road passenger transport</c:v>
                </c:pt>
                <c:pt idx="4">
                  <c:v>Water passenger transport</c:v>
                </c:pt>
                <c:pt idx="5">
                  <c:v>Air passenger transport</c:v>
                </c:pt>
                <c:pt idx="6">
                  <c:v>Transport equipment rental</c:v>
                </c:pt>
                <c:pt idx="7">
                  <c:v>Travel agencies and other reservation services activities</c:v>
                </c:pt>
                <c:pt idx="8">
                  <c:v>Cultural activities</c:v>
                </c:pt>
                <c:pt idx="9">
                  <c:v>Sports and recreational activities</c:v>
                </c:pt>
                <c:pt idx="10">
                  <c:v>Other tourism characteristic services in the country</c:v>
                </c:pt>
                <c:pt idx="11">
                  <c:v>Retail trade of tourism characteristic goods in the country</c:v>
                </c:pt>
              </c:strCache>
            </c:strRef>
          </c:cat>
          <c:val>
            <c:numRef>
              <c:f>'2.3'!$C$5:$C$16</c:f>
              <c:numCache>
                <c:formatCode>#,##0</c:formatCode>
                <c:ptCount val="12"/>
                <c:pt idx="0">
                  <c:v>109729</c:v>
                </c:pt>
                <c:pt idx="1">
                  <c:v>570206</c:v>
                </c:pt>
                <c:pt idx="2">
                  <c:v>4106</c:v>
                </c:pt>
                <c:pt idx="3">
                  <c:v>28100</c:v>
                </c:pt>
                <c:pt idx="4">
                  <c:v>1345</c:v>
                </c:pt>
                <c:pt idx="5">
                  <c:v>14489</c:v>
                </c:pt>
                <c:pt idx="6">
                  <c:v>18757</c:v>
                </c:pt>
                <c:pt idx="7">
                  <c:v>16985</c:v>
                </c:pt>
                <c:pt idx="8">
                  <c:v>2664</c:v>
                </c:pt>
                <c:pt idx="9">
                  <c:v>9779</c:v>
                </c:pt>
                <c:pt idx="10">
                  <c:v>13925</c:v>
                </c:pt>
                <c:pt idx="11">
                  <c:v>47887</c:v>
                </c:pt>
              </c:numCache>
            </c:numRef>
          </c:val>
          <c:extLst>
            <c:ext xmlns:c16="http://schemas.microsoft.com/office/drawing/2014/chart" uri="{C3380CC4-5D6E-409C-BE32-E72D297353CC}">
              <c16:uniqueId val="{00000000-3E0C-4C2E-A983-A3E4481C837B}"/>
            </c:ext>
          </c:extLst>
        </c:ser>
        <c:ser>
          <c:idx val="1"/>
          <c:order val="1"/>
          <c:tx>
            <c:strRef>
              <c:f>'2.3'!$D$4</c:f>
              <c:strCache>
                <c:ptCount val="1"/>
                <c:pt idx="0">
                  <c:v>Females</c:v>
                </c:pt>
              </c:strCache>
            </c:strRef>
          </c:tx>
          <c:spPr>
            <a:solidFill>
              <a:schemeClr val="accent5">
                <a:lumMod val="60000"/>
                <a:lumOff val="40000"/>
              </a:schemeClr>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spc="0" baseline="0">
                    <a:solidFill>
                      <a:schemeClr val="bg1"/>
                    </a:solidFill>
                    <a:latin typeface="Frutiger LT 55 Roman" panose="02000503040000020004" pitchFamily="2" charset="0"/>
                    <a:ea typeface="+mn-ea"/>
                    <a:cs typeface="+mn-cs"/>
                  </a:defRPr>
                </a:pPr>
                <a:endParaRPr lang="ar-SA"/>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'2.3'!$B$5:$B$16</c:f>
              <c:strCache>
                <c:ptCount val="12"/>
                <c:pt idx="0">
                  <c:v>Accommodation for visitors</c:v>
                </c:pt>
                <c:pt idx="1">
                  <c:v>Food and beverage serving activities</c:v>
                </c:pt>
                <c:pt idx="2">
                  <c:v>Railway passenger transport</c:v>
                </c:pt>
                <c:pt idx="3">
                  <c:v>Road passenger transport</c:v>
                </c:pt>
                <c:pt idx="4">
                  <c:v>Water passenger transport</c:v>
                </c:pt>
                <c:pt idx="5">
                  <c:v>Air passenger transport</c:v>
                </c:pt>
                <c:pt idx="6">
                  <c:v>Transport equipment rental</c:v>
                </c:pt>
                <c:pt idx="7">
                  <c:v>Travel agencies and other reservation services activities</c:v>
                </c:pt>
                <c:pt idx="8">
                  <c:v>Cultural activities</c:v>
                </c:pt>
                <c:pt idx="9">
                  <c:v>Sports and recreational activities</c:v>
                </c:pt>
                <c:pt idx="10">
                  <c:v>Other tourism characteristic services in the country</c:v>
                </c:pt>
                <c:pt idx="11">
                  <c:v>Retail trade of tourism characteristic goods in the country</c:v>
                </c:pt>
              </c:strCache>
            </c:strRef>
          </c:cat>
          <c:val>
            <c:numRef>
              <c:f>'2.3'!$D$5:$D$16</c:f>
              <c:numCache>
                <c:formatCode>#,##0</c:formatCode>
                <c:ptCount val="12"/>
                <c:pt idx="0">
                  <c:v>22185</c:v>
                </c:pt>
                <c:pt idx="1">
                  <c:v>67685</c:v>
                </c:pt>
                <c:pt idx="2">
                  <c:v>191</c:v>
                </c:pt>
                <c:pt idx="3">
                  <c:v>2946</c:v>
                </c:pt>
                <c:pt idx="4">
                  <c:v>245</c:v>
                </c:pt>
                <c:pt idx="5">
                  <c:v>6210</c:v>
                </c:pt>
                <c:pt idx="6">
                  <c:v>1588</c:v>
                </c:pt>
                <c:pt idx="7">
                  <c:v>3765</c:v>
                </c:pt>
                <c:pt idx="8">
                  <c:v>934</c:v>
                </c:pt>
                <c:pt idx="9">
                  <c:v>3756</c:v>
                </c:pt>
                <c:pt idx="10">
                  <c:v>4651</c:v>
                </c:pt>
                <c:pt idx="11">
                  <c:v>14403</c:v>
                </c:pt>
              </c:numCache>
            </c:numRef>
          </c:val>
          <c:extLst>
            <c:ext xmlns:c16="http://schemas.microsoft.com/office/drawing/2014/chart" uri="{C3380CC4-5D6E-409C-BE32-E72D297353CC}">
              <c16:uniqueId val="{00000001-3E0C-4C2E-A983-A3E4481C837B}"/>
            </c:ext>
          </c:extLst>
        </c:ser>
        <c:dLbls>
          <c:showLegendKey val="0"/>
          <c:showVal val="1"/>
          <c:showCatName val="0"/>
          <c:showSerName val="0"/>
          <c:showPercent val="0"/>
          <c:showBubbleSize val="0"/>
        </c:dLbls>
        <c:gapWidth val="44"/>
        <c:overlap val="100"/>
        <c:axId val="271222303"/>
        <c:axId val="184779727"/>
      </c:barChart>
      <c:valAx>
        <c:axId val="184779727"/>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71222303"/>
        <c:crosses val="autoZero"/>
        <c:crossBetween val="between"/>
      </c:valAx>
      <c:catAx>
        <c:axId val="271222303"/>
        <c:scaling>
          <c:orientation val="maxMin"/>
        </c:scaling>
        <c:delete val="0"/>
        <c:axPos val="l"/>
        <c:numFmt formatCode="General" sourceLinked="1"/>
        <c:majorTickMark val="out"/>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chemeClr val="tx1"/>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legend>
      <c:legendPos val="r"/>
      <c:layout>
        <c:manualLayout>
          <c:xMode val="edge"/>
          <c:yMode val="edge"/>
          <c:x val="0.29207382731004777"/>
          <c:y val="0.9242076695590794"/>
          <c:w val="0.46943519079345852"/>
          <c:h val="7.5717748991162293E-2"/>
        </c:manualLayout>
      </c:layout>
      <c:overlay val="0"/>
      <c:spPr>
        <a:noFill/>
        <a:ln>
          <a:noFill/>
        </a:ln>
        <a:effectLst/>
      </c:spPr>
      <c:txPr>
        <a:bodyPr rot="0" spcFirstLastPara="1" vertOverflow="ellipsis" vert="horz" wrap="square" anchor="ctr" anchorCtr="1"/>
        <a:lstStyle/>
        <a:p>
          <a:pPr algn="ctr">
            <a:defRPr lang="en-US" sz="800" b="0" i="0" u="none" strike="noStrike" kern="1200" baseline="0">
              <a:solidFill>
                <a:schemeClr val="tx1"/>
              </a:solidFill>
              <a:latin typeface="Frutiger LT 55 Roman" panose="02000503040000020004" pitchFamily="2" charset="0"/>
              <a:ea typeface="+mn-ea"/>
              <a:cs typeface="+mn-cs"/>
            </a:defRPr>
          </a:pPr>
          <a:endParaRPr lang="ar-SA"/>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cap="all" baseline="0">
                <a:solidFill>
                  <a:schemeClr val="tx2"/>
                </a:solidFill>
              </a:rPr>
              <a:t>Number of non-Saudi employees by gender and administrative regions, Q4 of 2024</a:t>
            </a:r>
          </a:p>
        </c:rich>
      </c:tx>
      <c:layout>
        <c:manualLayout>
          <c:xMode val="edge"/>
          <c:yMode val="edge"/>
          <c:x val="0.15254307153913454"/>
          <c:y val="2.9931709925148247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en-US"/>
        </a:p>
      </c:txPr>
    </c:title>
    <c:autoTitleDeleted val="0"/>
    <c:plotArea>
      <c:layout>
        <c:manualLayout>
          <c:layoutTarget val="inner"/>
          <c:xMode val="edge"/>
          <c:yMode val="edge"/>
          <c:x val="0.21166935863786257"/>
          <c:y val="0.14337548223782692"/>
          <c:w val="0.74383325613710038"/>
          <c:h val="0.70316713115651885"/>
        </c:manualLayout>
      </c:layout>
      <c:barChart>
        <c:barDir val="bar"/>
        <c:grouping val="stacked"/>
        <c:varyColors val="0"/>
        <c:ser>
          <c:idx val="0"/>
          <c:order val="0"/>
          <c:tx>
            <c:strRef>
              <c:f>'2.5'!$C$4</c:f>
              <c:strCache>
                <c:ptCount val="1"/>
                <c:pt idx="0">
                  <c:v>Males</c:v>
                </c:pt>
              </c:strCache>
            </c:strRef>
          </c:tx>
          <c:spPr>
            <a:solidFill>
              <a:srgbClr val="0070C0"/>
            </a:solidFill>
            <a:ln>
              <a:noFill/>
            </a:ln>
            <a:effectLst>
              <a:outerShdw blurRad="63500" sx="102000" sy="102000" algn="ctr" rotWithShape="0">
                <a:prstClr val="black">
                  <a:alpha val="20000"/>
                </a:prstClr>
              </a:outerShdw>
            </a:effectLst>
          </c:spPr>
          <c:invertIfNegative val="0"/>
          <c:dLbls>
            <c:delete val="1"/>
          </c:dLbls>
          <c:cat>
            <c:strRef>
              <c:f>'2.5'!$B$5:$B$17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'2.5'!$C$5:$C$17</c:f>
              <c:numCache>
                <c:formatCode>#,##0</c:formatCode>
                <c:ptCount val="13"/>
                <c:pt idx="0">
                  <c:v>218235</c:v>
                </c:pt>
                <c:pt idx="1">
                  <c:v>189264</c:v>
                </c:pt>
                <c:pt idx="2">
                  <c:v>110717</c:v>
                </c:pt>
                <c:pt idx="3">
                  <c:v>43751</c:v>
                </c:pt>
                <c:pt idx="4">
                  <c:v>38625</c:v>
                </c:pt>
                <c:pt idx="5">
                  <c:v>23812</c:v>
                </c:pt>
                <c:pt idx="6">
                  <c:v>26386</c:v>
                </c:pt>
                <c:pt idx="7">
                  <c:v>17452</c:v>
                </c:pt>
                <c:pt idx="8">
                  <c:v>10514</c:v>
                </c:pt>
                <c:pt idx="9">
                  <c:v>6793</c:v>
                </c:pt>
                <c:pt idx="10">
                  <c:v>9027</c:v>
                </c:pt>
                <c:pt idx="11">
                  <c:v>6288</c:v>
                </c:pt>
                <c:pt idx="12">
                  <c:v>5861</c:v>
                </c:pt>
              </c:numCache>
            </c:numRef>
          </c:val>
          <c:extLst>
            <c:ext xmlns:c16="http://schemas.microsoft.com/office/drawing/2014/chart" uri="{C3380CC4-5D6E-409C-BE32-E72D297353CC}">
              <c16:uniqueId val="{00000000-CA07-4299-B5B9-7FDBBCF55070}"/>
            </c:ext>
          </c:extLst>
        </c:ser>
        <c:ser>
          <c:idx val="1"/>
          <c:order val="1"/>
          <c:tx>
            <c:strRef>
              <c:f>'2.5'!$D$4</c:f>
              <c:strCache>
                <c:ptCount val="1"/>
                <c:pt idx="0">
                  <c:v>Females</c:v>
                </c:pt>
              </c:strCache>
            </c:strRef>
          </c:tx>
          <c:spPr>
            <a:solidFill>
              <a:schemeClr val="accent5">
                <a:lumMod val="60000"/>
                <a:lumOff val="40000"/>
              </a:schemeClr>
            </a:solidFill>
            <a:ln>
              <a:noFill/>
            </a:ln>
            <a:effectLst>
              <a:outerShdw blurRad="63500" sx="102000" sy="102000" algn="ctr" rotWithShape="0">
                <a:prstClr val="black">
                  <a:alpha val="20000"/>
                </a:prstClr>
              </a:outerShdw>
            </a:effectLst>
          </c:spPr>
          <c:invertIfNegative val="0"/>
          <c:dLbls>
            <c:delete val="1"/>
          </c:dLbls>
          <c:cat>
            <c:strRef>
              <c:f>'2.5'!$B$5:$B$17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'2.5'!$D$5:$D$17</c:f>
              <c:numCache>
                <c:formatCode>#,##0</c:formatCode>
                <c:ptCount val="13"/>
                <c:pt idx="0">
                  <c:v>6557</c:v>
                </c:pt>
                <c:pt idx="1">
                  <c:v>7646</c:v>
                </c:pt>
                <c:pt idx="2">
                  <c:v>1408</c:v>
                </c:pt>
                <c:pt idx="3">
                  <c:v>565</c:v>
                </c:pt>
                <c:pt idx="4">
                  <c:v>357</c:v>
                </c:pt>
                <c:pt idx="5">
                  <c:v>191</c:v>
                </c:pt>
                <c:pt idx="6">
                  <c:v>162</c:v>
                </c:pt>
                <c:pt idx="7">
                  <c:v>397</c:v>
                </c:pt>
                <c:pt idx="8">
                  <c:v>118</c:v>
                </c:pt>
                <c:pt idx="9">
                  <c:v>81</c:v>
                </c:pt>
                <c:pt idx="10">
                  <c:v>133</c:v>
                </c:pt>
                <c:pt idx="11">
                  <c:v>77</c:v>
                </c:pt>
                <c:pt idx="12">
                  <c:v>41</c:v>
                </c:pt>
              </c:numCache>
            </c:numRef>
          </c:val>
          <c:extLst>
            <c:ext xmlns:c16="http://schemas.microsoft.com/office/drawing/2014/chart" uri="{C3380CC4-5D6E-409C-BE32-E72D297353CC}">
              <c16:uniqueId val="{00000001-CA07-4299-B5B9-7FDBBCF55070}"/>
            </c:ext>
          </c:extLst>
        </c:ser>
        <c:dLbls>
          <c:showLegendKey val="0"/>
          <c:showVal val="1"/>
          <c:showCatName val="0"/>
          <c:showSerName val="0"/>
          <c:showPercent val="0"/>
          <c:showBubbleSize val="0"/>
        </c:dLbls>
        <c:gapWidth val="44"/>
        <c:overlap val="100"/>
        <c:axId val="271222303"/>
        <c:axId val="184779727"/>
      </c:barChart>
      <c:valAx>
        <c:axId val="184779727"/>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high"/>
        <c:spPr>
          <a:noFill/>
          <a:ln>
            <a:noFill/>
          </a:ln>
          <a:effectLst/>
        </c:spPr>
        <c:txPr>
          <a:bodyPr rot="-6000000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271222303"/>
        <c:crosses val="autoZero"/>
        <c:crossBetween val="between"/>
      </c:valAx>
      <c:catAx>
        <c:axId val="271222303"/>
        <c:scaling>
          <c:orientation val="maxMin"/>
        </c:scaling>
        <c:delete val="0"/>
        <c:axPos val="l"/>
        <c:numFmt formatCode="General" sourceLinked="1"/>
        <c:majorTickMark val="out"/>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legend>
      <c:legendPos val="r"/>
      <c:layout>
        <c:manualLayout>
          <c:xMode val="edge"/>
          <c:yMode val="edge"/>
          <c:x val="0.29088247926228472"/>
          <c:y val="0.9184687655928635"/>
          <c:w val="0.42196117731272897"/>
          <c:h val="7.8447589723618386E-2"/>
        </c:manualLayout>
      </c:layout>
      <c:overlay val="0"/>
      <c:spPr>
        <a:noFill/>
        <a:ln>
          <a:noFill/>
        </a:ln>
        <a:effectLst/>
      </c:spPr>
      <c:txPr>
        <a:bodyPr rot="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cap="all" baseline="0">
                <a:solidFill>
                  <a:schemeClr val="tx2"/>
                </a:solidFill>
              </a:rPr>
              <a:t>Number of Saudi employees by gender and administrative regions, Q4 of 2024</a:t>
            </a:r>
          </a:p>
        </c:rich>
      </c:tx>
      <c:layout>
        <c:manualLayout>
          <c:xMode val="edge"/>
          <c:yMode val="edge"/>
          <c:x val="0.19619372097718554"/>
          <c:y val="2.3758870418975404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en-US"/>
        </a:p>
      </c:txPr>
    </c:title>
    <c:autoTitleDeleted val="0"/>
    <c:plotArea>
      <c:layout>
        <c:manualLayout>
          <c:layoutTarget val="inner"/>
          <c:xMode val="edge"/>
          <c:yMode val="edge"/>
          <c:x val="0.21590601709545665"/>
          <c:y val="0.14321994209704433"/>
          <c:w val="0.72246595646132472"/>
          <c:h val="0.68153128153256193"/>
        </c:manualLayout>
      </c:layout>
      <c:barChart>
        <c:barDir val="bar"/>
        <c:grouping val="stacked"/>
        <c:varyColors val="0"/>
        <c:ser>
          <c:idx val="0"/>
          <c:order val="0"/>
          <c:tx>
            <c:strRef>
              <c:f>'2.4'!$C$4</c:f>
              <c:strCache>
                <c:ptCount val="1"/>
                <c:pt idx="0">
                  <c:v>Males</c:v>
                </c:pt>
              </c:strCache>
            </c:strRef>
          </c:tx>
          <c:spPr>
            <a:solidFill>
              <a:srgbClr val="0070C0"/>
            </a:solidFill>
            <a:ln>
              <a:noFill/>
            </a:ln>
            <a:effectLst>
              <a:outerShdw blurRad="63500" sx="102000" sy="102000" algn="ctr" rotWithShape="0">
                <a:prstClr val="black">
                  <a:alpha val="20000"/>
                </a:prstClr>
              </a:outerShdw>
            </a:effectLst>
          </c:spPr>
          <c:invertIfNegative val="0"/>
          <c:dLbls>
            <c:delete val="1"/>
          </c:dLbls>
          <c:cat>
            <c:strRef>
              <c:f>'2.4'!$B$5:$B$17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'2.4'!$C$5:$C$17</c:f>
              <c:numCache>
                <c:formatCode>#,##0</c:formatCode>
                <c:ptCount val="13"/>
                <c:pt idx="0">
                  <c:v>51056</c:v>
                </c:pt>
                <c:pt idx="1">
                  <c:v>42431</c:v>
                </c:pt>
                <c:pt idx="2">
                  <c:v>16835</c:v>
                </c:pt>
                <c:pt idx="3">
                  <c:v>7357</c:v>
                </c:pt>
                <c:pt idx="4">
                  <c:v>3771</c:v>
                </c:pt>
                <c:pt idx="5">
                  <c:v>1667</c:v>
                </c:pt>
                <c:pt idx="6">
                  <c:v>3165</c:v>
                </c:pt>
                <c:pt idx="7">
                  <c:v>1744</c:v>
                </c:pt>
                <c:pt idx="8">
                  <c:v>939</c:v>
                </c:pt>
                <c:pt idx="9">
                  <c:v>639</c:v>
                </c:pt>
                <c:pt idx="10">
                  <c:v>527</c:v>
                </c:pt>
                <c:pt idx="11">
                  <c:v>454</c:v>
                </c:pt>
                <c:pt idx="12">
                  <c:v>662</c:v>
                </c:pt>
              </c:numCache>
            </c:numRef>
          </c:val>
          <c:extLst>
            <c:ext xmlns:c16="http://schemas.microsoft.com/office/drawing/2014/chart" uri="{C3380CC4-5D6E-409C-BE32-E72D297353CC}">
              <c16:uniqueId val="{00000000-8B68-4191-9402-5BABA45D3CC0}"/>
            </c:ext>
          </c:extLst>
        </c:ser>
        <c:ser>
          <c:idx val="1"/>
          <c:order val="1"/>
          <c:tx>
            <c:strRef>
              <c:f>'2.4'!$D$4</c:f>
              <c:strCache>
                <c:ptCount val="1"/>
                <c:pt idx="0">
                  <c:v>Females</c:v>
                </c:pt>
              </c:strCache>
            </c:strRef>
          </c:tx>
          <c:spPr>
            <a:solidFill>
              <a:schemeClr val="accent5">
                <a:lumMod val="60000"/>
                <a:lumOff val="40000"/>
              </a:schemeClr>
            </a:solidFill>
            <a:ln>
              <a:noFill/>
            </a:ln>
            <a:effectLst>
              <a:outerShdw blurRad="63500" sx="102000" sy="102000" algn="ctr" rotWithShape="0">
                <a:prstClr val="black">
                  <a:alpha val="20000"/>
                </a:prstClr>
              </a:outerShdw>
            </a:effectLst>
          </c:spPr>
          <c:invertIfNegative val="0"/>
          <c:dLbls>
            <c:delete val="1"/>
          </c:dLbls>
          <c:cat>
            <c:strRef>
              <c:f>'2.4'!$B$5:$B$17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'2.4'!$D$5:$D$17</c:f>
              <c:numCache>
                <c:formatCode>#,##0</c:formatCode>
                <c:ptCount val="13"/>
                <c:pt idx="0">
                  <c:v>44769</c:v>
                </c:pt>
                <c:pt idx="1">
                  <c:v>29613</c:v>
                </c:pt>
                <c:pt idx="2">
                  <c:v>17942</c:v>
                </c:pt>
                <c:pt idx="3">
                  <c:v>5325</c:v>
                </c:pt>
                <c:pt idx="4">
                  <c:v>3769</c:v>
                </c:pt>
                <c:pt idx="5">
                  <c:v>1853</c:v>
                </c:pt>
                <c:pt idx="6">
                  <c:v>2474</c:v>
                </c:pt>
                <c:pt idx="7">
                  <c:v>2025</c:v>
                </c:pt>
                <c:pt idx="8">
                  <c:v>906</c:v>
                </c:pt>
                <c:pt idx="9">
                  <c:v>510</c:v>
                </c:pt>
                <c:pt idx="10">
                  <c:v>732</c:v>
                </c:pt>
                <c:pt idx="11">
                  <c:v>433</c:v>
                </c:pt>
                <c:pt idx="12">
                  <c:v>475</c:v>
                </c:pt>
              </c:numCache>
            </c:numRef>
          </c:val>
          <c:extLst>
            <c:ext xmlns:c16="http://schemas.microsoft.com/office/drawing/2014/chart" uri="{C3380CC4-5D6E-409C-BE32-E72D297353CC}">
              <c16:uniqueId val="{00000001-8B68-4191-9402-5BABA45D3CC0}"/>
            </c:ext>
          </c:extLst>
        </c:ser>
        <c:dLbls>
          <c:dLblPos val="ctr"/>
          <c:showLegendKey val="0"/>
          <c:showVal val="1"/>
          <c:showCatName val="0"/>
          <c:showSerName val="0"/>
          <c:showPercent val="0"/>
          <c:showBubbleSize val="0"/>
        </c:dLbls>
        <c:gapWidth val="44"/>
        <c:overlap val="100"/>
        <c:axId val="271222303"/>
        <c:axId val="184779727"/>
      </c:barChart>
      <c:valAx>
        <c:axId val="184779727"/>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high"/>
        <c:spPr>
          <a:noFill/>
          <a:ln>
            <a:noFill/>
          </a:ln>
          <a:effectLst/>
        </c:spPr>
        <c:txPr>
          <a:bodyPr rot="-6000000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271222303"/>
        <c:crosses val="autoZero"/>
        <c:crossBetween val="between"/>
      </c:valAx>
      <c:catAx>
        <c:axId val="271222303"/>
        <c:scaling>
          <c:orientation val="maxMin"/>
        </c:scaling>
        <c:delete val="0"/>
        <c:axPos val="l"/>
        <c:numFmt formatCode="General" sourceLinked="1"/>
        <c:majorTickMark val="out"/>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legend>
      <c:legendPos val="r"/>
      <c:layout>
        <c:manualLayout>
          <c:xMode val="edge"/>
          <c:yMode val="edge"/>
          <c:x val="0.30371670386121519"/>
          <c:y val="0.90606799140566097"/>
          <c:w val="0.3513729420186113"/>
          <c:h val="8.7721082585626498E-2"/>
        </c:manualLayout>
      </c:layout>
      <c:overlay val="0"/>
      <c:spPr>
        <a:noFill/>
        <a:ln>
          <a:noFill/>
        </a:ln>
        <a:effectLst/>
      </c:spPr>
      <c:txPr>
        <a:bodyPr rot="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cap="all" baseline="0">
                <a:solidFill>
                  <a:schemeClr val="tx2"/>
                </a:solidFill>
              </a:rPr>
              <a:t>Total number of employees by gender and administrative regions (number), Q4 of 2024</a:t>
            </a:r>
          </a:p>
        </c:rich>
      </c:tx>
      <c:layout>
        <c:manualLayout>
          <c:xMode val="edge"/>
          <c:yMode val="edge"/>
          <c:x val="0.19736662596319846"/>
          <c:y val="2.3840278848185223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en-US"/>
        </a:p>
      </c:txPr>
    </c:title>
    <c:autoTitleDeleted val="0"/>
    <c:plotArea>
      <c:layout>
        <c:manualLayout>
          <c:layoutTarget val="inner"/>
          <c:xMode val="edge"/>
          <c:yMode val="edge"/>
          <c:x val="0.23063118447092509"/>
          <c:y val="0.13712850979420763"/>
          <c:w val="0.72487144721883023"/>
          <c:h val="0.70002823449232676"/>
        </c:manualLayout>
      </c:layout>
      <c:barChart>
        <c:barDir val="bar"/>
        <c:grouping val="stacked"/>
        <c:varyColors val="0"/>
        <c:ser>
          <c:idx val="0"/>
          <c:order val="0"/>
          <c:tx>
            <c:strRef>
              <c:f>'2.6'!$C$4</c:f>
              <c:strCache>
                <c:ptCount val="1"/>
                <c:pt idx="0">
                  <c:v>Males</c:v>
                </c:pt>
              </c:strCache>
            </c:strRef>
          </c:tx>
          <c:spPr>
            <a:solidFill>
              <a:srgbClr val="0070C0"/>
            </a:solidFill>
            <a:ln>
              <a:noFill/>
            </a:ln>
            <a:effectLst>
              <a:outerShdw blurRad="63500" sx="102000" sy="102000" algn="ctr" rotWithShape="0">
                <a:prstClr val="black">
                  <a:alpha val="20000"/>
                </a:prstClr>
              </a:outerShdw>
            </a:effectLst>
          </c:spPr>
          <c:invertIfNegative val="0"/>
          <c:dLbls>
            <c:delete val="1"/>
          </c:dLbls>
          <c:cat>
            <c:strRef>
              <c:f>'2.6'!$B$5:$B$17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'2.6'!$C$5:$C$17</c:f>
              <c:numCache>
                <c:formatCode>#,##0</c:formatCode>
                <c:ptCount val="13"/>
                <c:pt idx="0">
                  <c:v>269291</c:v>
                </c:pt>
                <c:pt idx="1">
                  <c:v>231695</c:v>
                </c:pt>
                <c:pt idx="2">
                  <c:v>127552</c:v>
                </c:pt>
                <c:pt idx="3">
                  <c:v>51108</c:v>
                </c:pt>
                <c:pt idx="4">
                  <c:v>42396</c:v>
                </c:pt>
                <c:pt idx="5">
                  <c:v>25479</c:v>
                </c:pt>
                <c:pt idx="6">
                  <c:v>29551</c:v>
                </c:pt>
                <c:pt idx="7">
                  <c:v>19196</c:v>
                </c:pt>
                <c:pt idx="8">
                  <c:v>11453</c:v>
                </c:pt>
                <c:pt idx="9">
                  <c:v>7432</c:v>
                </c:pt>
                <c:pt idx="10">
                  <c:v>9554</c:v>
                </c:pt>
                <c:pt idx="11">
                  <c:v>6742</c:v>
                </c:pt>
                <c:pt idx="12">
                  <c:v>6523</c:v>
                </c:pt>
              </c:numCache>
            </c:numRef>
          </c:val>
          <c:extLst>
            <c:ext xmlns:c16="http://schemas.microsoft.com/office/drawing/2014/chart" uri="{C3380CC4-5D6E-409C-BE32-E72D297353CC}">
              <c16:uniqueId val="{00000000-8788-4F13-91F9-7EFA418AFFB1}"/>
            </c:ext>
          </c:extLst>
        </c:ser>
        <c:ser>
          <c:idx val="1"/>
          <c:order val="1"/>
          <c:tx>
            <c:strRef>
              <c:f>'2.6'!$D$4</c:f>
              <c:strCache>
                <c:ptCount val="1"/>
                <c:pt idx="0">
                  <c:v>Females</c:v>
                </c:pt>
              </c:strCache>
            </c:strRef>
          </c:tx>
          <c:spPr>
            <a:solidFill>
              <a:schemeClr val="accent5">
                <a:lumMod val="60000"/>
                <a:lumOff val="40000"/>
              </a:schemeClr>
            </a:solidFill>
            <a:ln>
              <a:noFill/>
            </a:ln>
            <a:effectLst>
              <a:outerShdw blurRad="63500" sx="102000" sy="102000" algn="ctr" rotWithShape="0">
                <a:prstClr val="black">
                  <a:alpha val="20000"/>
                </a:prstClr>
              </a:outerShdw>
            </a:effectLst>
          </c:spPr>
          <c:invertIfNegative val="0"/>
          <c:dLbls>
            <c:delete val="1"/>
          </c:dLbls>
          <c:cat>
            <c:strRef>
              <c:f>'2.6'!$B$5:$B$17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'2.6'!$D$5:$D$17</c:f>
              <c:numCache>
                <c:formatCode>#,##0</c:formatCode>
                <c:ptCount val="13"/>
                <c:pt idx="0">
                  <c:v>51326</c:v>
                </c:pt>
                <c:pt idx="1">
                  <c:v>37259</c:v>
                </c:pt>
                <c:pt idx="2">
                  <c:v>19350</c:v>
                </c:pt>
                <c:pt idx="3">
                  <c:v>5890</c:v>
                </c:pt>
                <c:pt idx="4">
                  <c:v>4126</c:v>
                </c:pt>
                <c:pt idx="5">
                  <c:v>2044</c:v>
                </c:pt>
                <c:pt idx="6">
                  <c:v>2636</c:v>
                </c:pt>
                <c:pt idx="7">
                  <c:v>2422</c:v>
                </c:pt>
                <c:pt idx="8">
                  <c:v>1024</c:v>
                </c:pt>
                <c:pt idx="9">
                  <c:v>591</c:v>
                </c:pt>
                <c:pt idx="10">
                  <c:v>865</c:v>
                </c:pt>
                <c:pt idx="11">
                  <c:v>510</c:v>
                </c:pt>
                <c:pt idx="12">
                  <c:v>516</c:v>
                </c:pt>
              </c:numCache>
            </c:numRef>
          </c:val>
          <c:extLst>
            <c:ext xmlns:c16="http://schemas.microsoft.com/office/drawing/2014/chart" uri="{C3380CC4-5D6E-409C-BE32-E72D297353CC}">
              <c16:uniqueId val="{00000001-8788-4F13-91F9-7EFA418AFFB1}"/>
            </c:ext>
          </c:extLst>
        </c:ser>
        <c:dLbls>
          <c:showLegendKey val="0"/>
          <c:showVal val="1"/>
          <c:showCatName val="0"/>
          <c:showSerName val="0"/>
          <c:showPercent val="0"/>
          <c:showBubbleSize val="0"/>
        </c:dLbls>
        <c:gapWidth val="44"/>
        <c:overlap val="100"/>
        <c:axId val="271222303"/>
        <c:axId val="184779727"/>
      </c:barChart>
      <c:valAx>
        <c:axId val="184779727"/>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high"/>
        <c:spPr>
          <a:noFill/>
          <a:ln>
            <a:noFill/>
          </a:ln>
          <a:effectLst/>
        </c:spPr>
        <c:txPr>
          <a:bodyPr rot="-6000000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271222303"/>
        <c:crosses val="autoZero"/>
        <c:crossBetween val="between"/>
      </c:valAx>
      <c:catAx>
        <c:axId val="271222303"/>
        <c:scaling>
          <c:orientation val="maxMin"/>
        </c:scaling>
        <c:delete val="0"/>
        <c:axPos val="l"/>
        <c:numFmt formatCode="General" sourceLinked="1"/>
        <c:majorTickMark val="out"/>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legend>
      <c:legendPos val="r"/>
      <c:layout>
        <c:manualLayout>
          <c:xMode val="edge"/>
          <c:yMode val="edge"/>
          <c:x val="0.33366322792538633"/>
          <c:y val="0.9091950858818334"/>
          <c:w val="0.35992909175123161"/>
          <c:h val="8.7721082585626498E-2"/>
        </c:manualLayout>
      </c:layout>
      <c:overlay val="0"/>
      <c:spPr>
        <a:noFill/>
        <a:ln>
          <a:noFill/>
        </a:ln>
        <a:effectLst/>
      </c:spPr>
      <c:txPr>
        <a:bodyPr rot="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kern="1200" cap="all" baseline="0">
                <a:solidFill>
                  <a:schemeClr val="tx2"/>
                </a:solidFill>
              </a:rPr>
              <a:t>Change over Q4 2023 in number of Saudi employees by activity (%)</a:t>
            </a:r>
          </a:p>
        </c:rich>
      </c:tx>
      <c:layout>
        <c:manualLayout>
          <c:xMode val="edge"/>
          <c:yMode val="edge"/>
          <c:x val="0.14381601443288539"/>
          <c:y val="3.2228012071017526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ar-SA"/>
        </a:p>
      </c:txPr>
    </c:title>
    <c:autoTitleDeleted val="0"/>
    <c:plotArea>
      <c:layout>
        <c:manualLayout>
          <c:layoutTarget val="inner"/>
          <c:xMode val="edge"/>
          <c:yMode val="edge"/>
          <c:x val="0.41460411198600172"/>
          <c:y val="0.15246135899679206"/>
          <c:w val="0.5462884326959131"/>
          <c:h val="0.75661295810245943"/>
        </c:manualLayout>
      </c:layout>
      <c:barChart>
        <c:barDir val="bar"/>
        <c:grouping val="clustered"/>
        <c:varyColors val="0"/>
        <c:ser>
          <c:idx val="0"/>
          <c:order val="0"/>
          <c:spPr>
            <a:solidFill>
              <a:srgbClr val="0070C0"/>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'2.7'!$B$5:$B$16</c:f>
              <c:strCache>
                <c:ptCount val="12"/>
                <c:pt idx="0">
                  <c:v>Accommodation for visitors</c:v>
                </c:pt>
                <c:pt idx="1">
                  <c:v>Food and beverage serving activities</c:v>
                </c:pt>
                <c:pt idx="2">
                  <c:v>Railway passenger transport</c:v>
                </c:pt>
                <c:pt idx="3">
                  <c:v>Road passenger transport</c:v>
                </c:pt>
                <c:pt idx="4">
                  <c:v>Water passenger transport</c:v>
                </c:pt>
                <c:pt idx="5">
                  <c:v>Air passenger transport</c:v>
                </c:pt>
                <c:pt idx="6">
                  <c:v>Transport equipment rental</c:v>
                </c:pt>
                <c:pt idx="7">
                  <c:v>Travel agencies and other reservation services activities</c:v>
                </c:pt>
                <c:pt idx="8">
                  <c:v>Cultural activities</c:v>
                </c:pt>
                <c:pt idx="9">
                  <c:v>Sports and recreational activities</c:v>
                </c:pt>
                <c:pt idx="10">
                  <c:v>Other tourism characteristic services in the country</c:v>
                </c:pt>
                <c:pt idx="11">
                  <c:v>Retail trade of tourism characteristic goods in the country</c:v>
                </c:pt>
              </c:strCache>
            </c:strRef>
          </c:cat>
          <c:val>
            <c:numRef>
              <c:f>'2.7'!$E$5:$E$16</c:f>
              <c:numCache>
                <c:formatCode>0.0%</c:formatCode>
                <c:ptCount val="12"/>
                <c:pt idx="0">
                  <c:v>7.5641187088108131E-2</c:v>
                </c:pt>
                <c:pt idx="1">
                  <c:v>-5.4375406636304489E-2</c:v>
                </c:pt>
                <c:pt idx="2">
                  <c:v>6.0371959942775395E-2</c:v>
                </c:pt>
                <c:pt idx="3">
                  <c:v>0.13239339752407153</c:v>
                </c:pt>
                <c:pt idx="4">
                  <c:v>-9.5541401273885346E-3</c:v>
                </c:pt>
                <c:pt idx="5">
                  <c:v>8.2514415658247381E-2</c:v>
                </c:pt>
                <c:pt idx="6">
                  <c:v>0.18584070796460178</c:v>
                </c:pt>
                <c:pt idx="7">
                  <c:v>-0.28533094812164578</c:v>
                </c:pt>
                <c:pt idx="8">
                  <c:v>-0.10604026845637583</c:v>
                </c:pt>
                <c:pt idx="9">
                  <c:v>-4.9521354933726065E-2</c:v>
                </c:pt>
                <c:pt idx="10">
                  <c:v>0.11124229306047488</c:v>
                </c:pt>
                <c:pt idx="11">
                  <c:v>-2.8217516447368422E-2</c:v>
                </c:pt>
              </c:numCache>
            </c:numRef>
          </c:val>
          <c:extLst>
            <c:ext xmlns:c16="http://schemas.microsoft.com/office/drawing/2014/chart" uri="{C3380CC4-5D6E-409C-BE32-E72D297353CC}">
              <c16:uniqueId val="{00000000-84D7-4733-A26D-0F4F7AFD90C3}"/>
            </c:ext>
          </c:extLst>
        </c:ser>
        <c:dLbls>
          <c:dLblPos val="outEnd"/>
          <c:showLegendKey val="0"/>
          <c:showVal val="1"/>
          <c:showCatName val="0"/>
          <c:showSerName val="0"/>
          <c:showPercent val="0"/>
          <c:showBubbleSize val="0"/>
        </c:dLbls>
        <c:gapWidth val="44"/>
        <c:axId val="271222303"/>
        <c:axId val="184779727"/>
      </c:barChart>
      <c:valAx>
        <c:axId val="184779727"/>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271222303"/>
        <c:crosses val="autoZero"/>
        <c:crossBetween val="between"/>
      </c:valAx>
      <c:catAx>
        <c:axId val="271222303"/>
        <c:scaling>
          <c:orientation val="minMax"/>
        </c:scaling>
        <c:delete val="0"/>
        <c:axPos val="l"/>
        <c:numFmt formatCode="General" sourceLinked="1"/>
        <c:majorTickMark val="out"/>
        <c:minorTickMark val="none"/>
        <c:tickLblPos val="low"/>
        <c:spPr>
          <a:noFill/>
          <a:ln>
            <a:solidFill>
              <a:schemeClr val="tx1">
                <a:lumMod val="65000"/>
                <a:lumOff val="35000"/>
              </a:schemeClr>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ar-SA"/>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kern="1200" cap="all" baseline="0">
                <a:solidFill>
                  <a:schemeClr val="tx2"/>
                </a:solidFill>
              </a:rPr>
              <a:t>Change over Q4 2023 in number of non-Saudi employees by activity (%)</a:t>
            </a:r>
          </a:p>
        </c:rich>
      </c:tx>
      <c:layout>
        <c:manualLayout>
          <c:xMode val="edge"/>
          <c:yMode val="edge"/>
          <c:x val="0.14381601443288539"/>
          <c:y val="3.2228012071017526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ar-SA"/>
        </a:p>
      </c:txPr>
    </c:title>
    <c:autoTitleDeleted val="0"/>
    <c:plotArea>
      <c:layout>
        <c:manualLayout>
          <c:layoutTarget val="inner"/>
          <c:xMode val="edge"/>
          <c:yMode val="edge"/>
          <c:x val="0.46222315960504928"/>
          <c:y val="0.14628851949061922"/>
          <c:w val="0.49866938507686537"/>
          <c:h val="0.7627857976086323"/>
        </c:manualLayout>
      </c:layout>
      <c:barChart>
        <c:barDir val="bar"/>
        <c:grouping val="clustered"/>
        <c:varyColors val="0"/>
        <c:ser>
          <c:idx val="0"/>
          <c:order val="0"/>
          <c:spPr>
            <a:solidFill>
              <a:srgbClr val="0070C0"/>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'2.8'!$B$5:$B$16</c:f>
              <c:strCache>
                <c:ptCount val="12"/>
                <c:pt idx="0">
                  <c:v>Accommodation for visitors</c:v>
                </c:pt>
                <c:pt idx="1">
                  <c:v>Food and beverage serving activities</c:v>
                </c:pt>
                <c:pt idx="2">
                  <c:v>Railway passenger transport</c:v>
                </c:pt>
                <c:pt idx="3">
                  <c:v>Road passenger transport</c:v>
                </c:pt>
                <c:pt idx="4">
                  <c:v>Water passenger transport</c:v>
                </c:pt>
                <c:pt idx="5">
                  <c:v>Air passenger transport</c:v>
                </c:pt>
                <c:pt idx="6">
                  <c:v>Transport equipment rental</c:v>
                </c:pt>
                <c:pt idx="7">
                  <c:v>Travel agencies and other reservation services activities</c:v>
                </c:pt>
                <c:pt idx="8">
                  <c:v>Cultural activities</c:v>
                </c:pt>
                <c:pt idx="9">
                  <c:v>Sports and recreational activities</c:v>
                </c:pt>
                <c:pt idx="10">
                  <c:v>Other tourism characteristic services in the country</c:v>
                </c:pt>
                <c:pt idx="11">
                  <c:v>Retail trade of tourism characteristic goods in the country</c:v>
                </c:pt>
              </c:strCache>
            </c:strRef>
          </c:cat>
          <c:val>
            <c:numRef>
              <c:f>'2.8'!$E$5:$E$16</c:f>
              <c:numCache>
                <c:formatCode>0.0%</c:formatCode>
                <c:ptCount val="12"/>
                <c:pt idx="0">
                  <c:v>0.13419572553430822</c:v>
                </c:pt>
                <c:pt idx="1">
                  <c:v>3.1405837851518785E-2</c:v>
                </c:pt>
                <c:pt idx="2">
                  <c:v>0.17729083665338646</c:v>
                </c:pt>
                <c:pt idx="3">
                  <c:v>0.11338704538212936</c:v>
                </c:pt>
                <c:pt idx="4">
                  <c:v>0.16067146282973621</c:v>
                </c:pt>
                <c:pt idx="5">
                  <c:v>7.7642930252960957E-2</c:v>
                </c:pt>
                <c:pt idx="6">
                  <c:v>0.14051749200503924</c:v>
                </c:pt>
                <c:pt idx="7">
                  <c:v>9.3467741935483878E-2</c:v>
                </c:pt>
                <c:pt idx="8">
                  <c:v>-7.1925754060324823E-2</c:v>
                </c:pt>
                <c:pt idx="9">
                  <c:v>0.11820488847335381</c:v>
                </c:pt>
                <c:pt idx="10">
                  <c:v>0.2299172346640701</c:v>
                </c:pt>
                <c:pt idx="11">
                  <c:v>0.16115304319897222</c:v>
                </c:pt>
              </c:numCache>
            </c:numRef>
          </c:val>
          <c:extLst>
            <c:ext xmlns:c16="http://schemas.microsoft.com/office/drawing/2014/chart" uri="{C3380CC4-5D6E-409C-BE32-E72D297353CC}">
              <c16:uniqueId val="{00000000-92DC-4218-941F-D8745ABDDF20}"/>
            </c:ext>
          </c:extLst>
        </c:ser>
        <c:dLbls>
          <c:dLblPos val="outEnd"/>
          <c:showLegendKey val="0"/>
          <c:showVal val="1"/>
          <c:showCatName val="0"/>
          <c:showSerName val="0"/>
          <c:showPercent val="0"/>
          <c:showBubbleSize val="0"/>
        </c:dLbls>
        <c:gapWidth val="44"/>
        <c:axId val="271222303"/>
        <c:axId val="184779727"/>
      </c:barChart>
      <c:valAx>
        <c:axId val="184779727"/>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271222303"/>
        <c:crosses val="autoZero"/>
        <c:crossBetween val="between"/>
      </c:valAx>
      <c:catAx>
        <c:axId val="271222303"/>
        <c:scaling>
          <c:orientation val="maxMin"/>
        </c:scaling>
        <c:delete val="0"/>
        <c:axPos val="l"/>
        <c:numFmt formatCode="General" sourceLinked="1"/>
        <c:majorTickMark val="out"/>
        <c:minorTickMark val="none"/>
        <c:tickLblPos val="low"/>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ar-SA"/>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kern="1200" cap="all" baseline="0">
                <a:solidFill>
                  <a:schemeClr val="tx2"/>
                </a:solidFill>
              </a:rPr>
              <a:t>Change over Q4 2023 in Total employees by activity (%)</a:t>
            </a:r>
          </a:p>
        </c:rich>
      </c:tx>
      <c:layout>
        <c:manualLayout>
          <c:xMode val="edge"/>
          <c:yMode val="edge"/>
          <c:x val="0.19341926009248844"/>
          <c:y val="3.5143362181768098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ar-SA"/>
        </a:p>
      </c:txPr>
    </c:title>
    <c:autoTitleDeleted val="0"/>
    <c:plotArea>
      <c:layout>
        <c:manualLayout>
          <c:layoutTarget val="inner"/>
          <c:xMode val="edge"/>
          <c:yMode val="edge"/>
          <c:x val="0.46619141357330335"/>
          <c:y val="0.14291678817925538"/>
          <c:w val="0.49470113110861141"/>
          <c:h val="0.77511981141246233"/>
        </c:manualLayout>
      </c:layout>
      <c:barChart>
        <c:barDir val="bar"/>
        <c:grouping val="clustered"/>
        <c:varyColors val="0"/>
        <c:ser>
          <c:idx val="0"/>
          <c:order val="0"/>
          <c:spPr>
            <a:solidFill>
              <a:srgbClr val="0070C0"/>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'2.9'!$B$5:$B$16</c:f>
              <c:strCache>
                <c:ptCount val="12"/>
                <c:pt idx="0">
                  <c:v>Accommodation for visitors</c:v>
                </c:pt>
                <c:pt idx="1">
                  <c:v>Food and beverage serving activities</c:v>
                </c:pt>
                <c:pt idx="2">
                  <c:v>Railway passenger transport</c:v>
                </c:pt>
                <c:pt idx="3">
                  <c:v>Road passenger transport</c:v>
                </c:pt>
                <c:pt idx="4">
                  <c:v>Water passenger transport</c:v>
                </c:pt>
                <c:pt idx="5">
                  <c:v>Air passenger transport</c:v>
                </c:pt>
                <c:pt idx="6">
                  <c:v>Transport equipment rental</c:v>
                </c:pt>
                <c:pt idx="7">
                  <c:v>Travel agencies and other reservation services activities</c:v>
                </c:pt>
                <c:pt idx="8">
                  <c:v>Cultural activities</c:v>
                </c:pt>
                <c:pt idx="9">
                  <c:v>Sports and recreational activities</c:v>
                </c:pt>
                <c:pt idx="10">
                  <c:v>Other tourism characteristic services in the country</c:v>
                </c:pt>
                <c:pt idx="11">
                  <c:v>Retail trade of tourism characteristic goods in the country</c:v>
                </c:pt>
              </c:strCache>
            </c:strRef>
          </c:cat>
          <c:val>
            <c:numRef>
              <c:f>'2.9'!$E$5:$E$16</c:f>
              <c:numCache>
                <c:formatCode>0.0%</c:formatCode>
                <c:ptCount val="12"/>
                <c:pt idx="0">
                  <c:v>0.11070508394658404</c:v>
                </c:pt>
                <c:pt idx="1">
                  <c:v>1.4628738305121411E-2</c:v>
                </c:pt>
                <c:pt idx="2">
                  <c:v>7.5056292219164378E-2</c:v>
                </c:pt>
                <c:pt idx="3">
                  <c:v>0.11736548497390678</c:v>
                </c:pt>
                <c:pt idx="4">
                  <c:v>8.7551299589603282E-2</c:v>
                </c:pt>
                <c:pt idx="5">
                  <c:v>8.0774853801169597E-2</c:v>
                </c:pt>
                <c:pt idx="6">
                  <c:v>0.15919320836419576</c:v>
                </c:pt>
                <c:pt idx="7">
                  <c:v>-7.6217611966877388E-2</c:v>
                </c:pt>
                <c:pt idx="8">
                  <c:v>-9.1184642586511752E-2</c:v>
                </c:pt>
                <c:pt idx="9">
                  <c:v>4.7681709110612279E-2</c:v>
                </c:pt>
                <c:pt idx="10">
                  <c:v>0.17280131321421807</c:v>
                </c:pt>
                <c:pt idx="11">
                  <c:v>9.6307508184026183E-2</c:v>
                </c:pt>
              </c:numCache>
            </c:numRef>
          </c:val>
          <c:extLst>
            <c:ext xmlns:c16="http://schemas.microsoft.com/office/drawing/2014/chart" uri="{C3380CC4-5D6E-409C-BE32-E72D297353CC}">
              <c16:uniqueId val="{00000000-8336-48D8-B182-96604D00F5D4}"/>
            </c:ext>
          </c:extLst>
        </c:ser>
        <c:dLbls>
          <c:dLblPos val="outEnd"/>
          <c:showLegendKey val="0"/>
          <c:showVal val="1"/>
          <c:showCatName val="0"/>
          <c:showSerName val="0"/>
          <c:showPercent val="0"/>
          <c:showBubbleSize val="0"/>
        </c:dLbls>
        <c:gapWidth val="44"/>
        <c:axId val="271222303"/>
        <c:axId val="184779727"/>
      </c:barChart>
      <c:valAx>
        <c:axId val="184779727"/>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271222303"/>
        <c:crosses val="autoZero"/>
        <c:crossBetween val="between"/>
      </c:valAx>
      <c:catAx>
        <c:axId val="271222303"/>
        <c:scaling>
          <c:orientation val="maxMin"/>
        </c:scaling>
        <c:delete val="0"/>
        <c:axPos val="l"/>
        <c:numFmt formatCode="General" sourceLinked="1"/>
        <c:majorTickMark val="out"/>
        <c:minorTickMark val="none"/>
        <c:tickLblPos val="low"/>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ar-SA"/>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kern="1200" cap="all" baseline="0">
                <a:solidFill>
                  <a:schemeClr val="tx2"/>
                </a:solidFill>
              </a:rPr>
              <a:t>Change over Q4 2023 in number of saudi employees by region (%)</a:t>
            </a:r>
          </a:p>
        </c:rich>
      </c:tx>
      <c:layout>
        <c:manualLayout>
          <c:xMode val="edge"/>
          <c:yMode val="edge"/>
          <c:x val="0.13117544680704096"/>
          <c:y val="1.7585921654140219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ar-SA"/>
        </a:p>
      </c:txPr>
    </c:title>
    <c:autoTitleDeleted val="0"/>
    <c:plotArea>
      <c:layout>
        <c:manualLayout>
          <c:layoutTarget val="inner"/>
          <c:xMode val="edge"/>
          <c:yMode val="edge"/>
          <c:x val="0.24862985876765401"/>
          <c:y val="0.15925537085642072"/>
          <c:w val="0.7090826146731658"/>
          <c:h val="0.72903081559249538"/>
        </c:manualLayout>
      </c:layout>
      <c:barChart>
        <c:barDir val="bar"/>
        <c:grouping val="clustered"/>
        <c:varyColors val="0"/>
        <c:ser>
          <c:idx val="0"/>
          <c:order val="0"/>
          <c:spPr>
            <a:solidFill>
              <a:srgbClr val="0070C0"/>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'2.10'!$B$5:$B$17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'2.10'!$E$5:$E$17</c:f>
              <c:numCache>
                <c:formatCode>0.0%</c:formatCode>
                <c:ptCount val="13"/>
                <c:pt idx="0">
                  <c:v>-2.7285738938008182E-2</c:v>
                </c:pt>
                <c:pt idx="1">
                  <c:v>-3.2407967014518445E-2</c:v>
                </c:pt>
                <c:pt idx="2">
                  <c:v>4.2101162651324464E-2</c:v>
                </c:pt>
                <c:pt idx="3">
                  <c:v>0.1016330785267547</c:v>
                </c:pt>
                <c:pt idx="4">
                  <c:v>-1.8740239458615304E-2</c:v>
                </c:pt>
                <c:pt idx="5">
                  <c:v>-5.070118662351672E-2</c:v>
                </c:pt>
                <c:pt idx="6">
                  <c:v>2.3969493372071909E-2</c:v>
                </c:pt>
                <c:pt idx="7">
                  <c:v>0.14039334341906204</c:v>
                </c:pt>
                <c:pt idx="8">
                  <c:v>-0.17078651685393259</c:v>
                </c:pt>
                <c:pt idx="9">
                  <c:v>-7.0388349514563103E-2</c:v>
                </c:pt>
                <c:pt idx="10">
                  <c:v>-3.746177370030581E-2</c:v>
                </c:pt>
                <c:pt idx="11">
                  <c:v>2.7809965237543453E-2</c:v>
                </c:pt>
                <c:pt idx="12">
                  <c:v>-5.8774834437086095E-2</c:v>
                </c:pt>
              </c:numCache>
            </c:numRef>
          </c:val>
          <c:extLst>
            <c:ext xmlns:c16="http://schemas.microsoft.com/office/drawing/2014/chart" uri="{C3380CC4-5D6E-409C-BE32-E72D297353CC}">
              <c16:uniqueId val="{00000000-C44E-4B14-9E2B-05566828D4B4}"/>
            </c:ext>
          </c:extLst>
        </c:ser>
        <c:dLbls>
          <c:showLegendKey val="0"/>
          <c:showVal val="1"/>
          <c:showCatName val="0"/>
          <c:showSerName val="0"/>
          <c:showPercent val="0"/>
          <c:showBubbleSize val="0"/>
        </c:dLbls>
        <c:gapWidth val="44"/>
        <c:axId val="271222303"/>
        <c:axId val="184779727"/>
      </c:barChart>
      <c:valAx>
        <c:axId val="184779727"/>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271222303"/>
        <c:crosses val="autoZero"/>
        <c:crossBetween val="between"/>
      </c:valAx>
      <c:catAx>
        <c:axId val="271222303"/>
        <c:scaling>
          <c:orientation val="maxMin"/>
        </c:scaling>
        <c:delete val="0"/>
        <c:axPos val="l"/>
        <c:numFmt formatCode="General" sourceLinked="1"/>
        <c:majorTickMark val="out"/>
        <c:minorTickMark val="none"/>
        <c:tickLblPos val="low"/>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kern="1200" cap="all" baseline="0">
                <a:solidFill>
                  <a:schemeClr val="tx2"/>
                </a:solidFill>
              </a:rPr>
              <a:t>Change over Q4 2023 in number of non-saudi employees by region (%)</a:t>
            </a:r>
          </a:p>
        </c:rich>
      </c:tx>
      <c:layout>
        <c:manualLayout>
          <c:xMode val="edge"/>
          <c:yMode val="edge"/>
          <c:x val="0.13117544680704096"/>
          <c:y val="1.7585921654140219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ar-SA"/>
        </a:p>
      </c:txPr>
    </c:title>
    <c:autoTitleDeleted val="0"/>
    <c:plotArea>
      <c:layout>
        <c:manualLayout>
          <c:layoutTarget val="inner"/>
          <c:xMode val="edge"/>
          <c:yMode val="edge"/>
          <c:x val="0.26053462067241595"/>
          <c:y val="0.13400140954602896"/>
          <c:w val="0.69402590301212352"/>
          <c:h val="0.8004704967434626"/>
        </c:manualLayout>
      </c:layout>
      <c:barChart>
        <c:barDir val="bar"/>
        <c:grouping val="clustered"/>
        <c:varyColors val="0"/>
        <c:ser>
          <c:idx val="0"/>
          <c:order val="0"/>
          <c:spPr>
            <a:solidFill>
              <a:srgbClr val="0070C0"/>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'2.11'!$B$5:$B$17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'2.11'!$E$5:$E$17</c:f>
              <c:numCache>
                <c:formatCode>0.0%</c:formatCode>
                <c:ptCount val="13"/>
                <c:pt idx="0">
                  <c:v>4.1359374420931697E-2</c:v>
                </c:pt>
                <c:pt idx="1">
                  <c:v>5.2476856305988501E-2</c:v>
                </c:pt>
                <c:pt idx="2">
                  <c:v>7.7379122146206472E-2</c:v>
                </c:pt>
                <c:pt idx="3">
                  <c:v>0.12554288471795394</c:v>
                </c:pt>
                <c:pt idx="4">
                  <c:v>5.2742445110588995E-2</c:v>
                </c:pt>
                <c:pt idx="5">
                  <c:v>5.6191146704215433E-2</c:v>
                </c:pt>
                <c:pt idx="6">
                  <c:v>3.6464433512922619E-2</c:v>
                </c:pt>
                <c:pt idx="7">
                  <c:v>0.15013853985437206</c:v>
                </c:pt>
                <c:pt idx="8">
                  <c:v>-1.3637628722516002E-2</c:v>
                </c:pt>
                <c:pt idx="9">
                  <c:v>3.6489746682750304E-2</c:v>
                </c:pt>
                <c:pt idx="10">
                  <c:v>9.740026356774889E-2</c:v>
                </c:pt>
                <c:pt idx="11">
                  <c:v>7.2090281286845206E-2</c:v>
                </c:pt>
                <c:pt idx="12">
                  <c:v>6.8815646504889527E-2</c:v>
                </c:pt>
              </c:numCache>
            </c:numRef>
          </c:val>
          <c:extLst>
            <c:ext xmlns:c16="http://schemas.microsoft.com/office/drawing/2014/chart" uri="{C3380CC4-5D6E-409C-BE32-E72D297353CC}">
              <c16:uniqueId val="{00000000-0937-467B-96EB-E6C05B0D5B53}"/>
            </c:ext>
          </c:extLst>
        </c:ser>
        <c:dLbls>
          <c:showLegendKey val="0"/>
          <c:showVal val="1"/>
          <c:showCatName val="0"/>
          <c:showSerName val="0"/>
          <c:showPercent val="0"/>
          <c:showBubbleSize val="0"/>
        </c:dLbls>
        <c:gapWidth val="44"/>
        <c:axId val="271222303"/>
        <c:axId val="184779727"/>
      </c:barChart>
      <c:valAx>
        <c:axId val="184779727"/>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271222303"/>
        <c:crosses val="autoZero"/>
        <c:crossBetween val="between"/>
      </c:valAx>
      <c:catAx>
        <c:axId val="271222303"/>
        <c:scaling>
          <c:orientation val="maxMin"/>
        </c:scaling>
        <c:delete val="0"/>
        <c:axPos val="l"/>
        <c:numFmt formatCode="General" sourceLinked="1"/>
        <c:majorTickMark val="out"/>
        <c:minorTickMark val="none"/>
        <c:tickLblPos val="low"/>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r>
              <a:rPr lang="en-US" sz="1200" b="1" i="0" u="none" strike="noStrike" kern="1200" cap="all" baseline="0">
                <a:solidFill>
                  <a:schemeClr val="tx2"/>
                </a:solidFill>
              </a:rPr>
              <a:t>Change over Q4 2023 in Total employees by region (%)</a:t>
            </a:r>
          </a:p>
        </c:rich>
      </c:tx>
      <c:layout>
        <c:manualLayout>
          <c:xMode val="edge"/>
          <c:yMode val="edge"/>
          <c:x val="0.19863579552555929"/>
          <c:y val="1.7585921286840913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ar-SA"/>
        </a:p>
      </c:txPr>
    </c:title>
    <c:autoTitleDeleted val="0"/>
    <c:plotArea>
      <c:layout>
        <c:manualLayout>
          <c:layoutTarget val="inner"/>
          <c:xMode val="edge"/>
          <c:yMode val="edge"/>
          <c:x val="0.24862985876765401"/>
          <c:y val="0.123897880820453"/>
          <c:w val="0.70970347456567928"/>
          <c:h val="0.76438830562846316"/>
        </c:manualLayout>
      </c:layout>
      <c:barChart>
        <c:barDir val="bar"/>
        <c:grouping val="clustered"/>
        <c:varyColors val="0"/>
        <c:ser>
          <c:idx val="0"/>
          <c:order val="0"/>
          <c:spPr>
            <a:solidFill>
              <a:srgbClr val="0070C0"/>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'2.12'!$B$5:$B$17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'2.12'!$E$5:$E$17</c:f>
              <c:numCache>
                <c:formatCode>0.0%</c:formatCode>
                <c:ptCount val="13"/>
                <c:pt idx="0">
                  <c:v>1.9848780286089631E-2</c:v>
                </c:pt>
                <c:pt idx="1">
                  <c:v>2.8312094483251705E-2</c:v>
                </c:pt>
                <c:pt idx="2">
                  <c:v>6.8813480399289889E-2</c:v>
                </c:pt>
                <c:pt idx="3">
                  <c:v>0.12013363466640464</c:v>
                </c:pt>
                <c:pt idx="4">
                  <c:v>4.0458032339588036E-2</c:v>
                </c:pt>
                <c:pt idx="5">
                  <c:v>4.1196943330559128E-2</c:v>
                </c:pt>
                <c:pt idx="6">
                  <c:v>3.4253398027055688E-2</c:v>
                </c:pt>
                <c:pt idx="7">
                  <c:v>0.14842753931151723</c:v>
                </c:pt>
                <c:pt idx="8">
                  <c:v>-4.0525992002460778E-2</c:v>
                </c:pt>
                <c:pt idx="9">
                  <c:v>1.9700050838840875E-2</c:v>
                </c:pt>
                <c:pt idx="10">
                  <c:v>7.9129984464008291E-2</c:v>
                </c:pt>
                <c:pt idx="11">
                  <c:v>6.6470588235294115E-2</c:v>
                </c:pt>
                <c:pt idx="12">
                  <c:v>4.5913818722139677E-2</c:v>
                </c:pt>
              </c:numCache>
            </c:numRef>
          </c:val>
          <c:extLst>
            <c:ext xmlns:c16="http://schemas.microsoft.com/office/drawing/2014/chart" uri="{C3380CC4-5D6E-409C-BE32-E72D297353CC}">
              <c16:uniqueId val="{00000000-ACC1-4C5F-8BF7-C46B58D8F64D}"/>
            </c:ext>
          </c:extLst>
        </c:ser>
        <c:dLbls>
          <c:showLegendKey val="0"/>
          <c:showVal val="1"/>
          <c:showCatName val="0"/>
          <c:showSerName val="0"/>
          <c:showPercent val="0"/>
          <c:showBubbleSize val="0"/>
        </c:dLbls>
        <c:gapWidth val="44"/>
        <c:axId val="271222303"/>
        <c:axId val="184779727"/>
      </c:barChart>
      <c:valAx>
        <c:axId val="184779727"/>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271222303"/>
        <c:crosses val="autoZero"/>
        <c:crossBetween val="between"/>
      </c:valAx>
      <c:catAx>
        <c:axId val="271222303"/>
        <c:scaling>
          <c:orientation val="maxMin"/>
        </c:scaling>
        <c:delete val="0"/>
        <c:axPos val="l"/>
        <c:numFmt formatCode="General" sourceLinked="1"/>
        <c:majorTickMark val="out"/>
        <c:minorTickMark val="none"/>
        <c:tickLblPos val="low"/>
        <c:spPr>
          <a:noFill/>
          <a:ln>
            <a:solidFill>
              <a:schemeClr val="tx1">
                <a:lumMod val="65000"/>
                <a:lumOff val="3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84779727"/>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a:solidFill>
                  <a:schemeClr val="tx2"/>
                </a:solidFill>
                <a:effectLst/>
              </a:rPr>
              <a:t>DEVELOPMENT</a:t>
            </a:r>
            <a:r>
              <a:rPr lang="en-US" sz="1200" b="1" i="0" baseline="0">
                <a:solidFill>
                  <a:schemeClr val="tx2"/>
                </a:solidFill>
                <a:effectLst/>
              </a:rPr>
              <a:t> OF THE NUMBER OF TOURIST HOSPITALITY FACILITIES, Q</a:t>
            </a:r>
            <a:r>
              <a:rPr lang="ar-SA" sz="1200" b="1" i="0" baseline="0">
                <a:solidFill>
                  <a:schemeClr val="tx2"/>
                </a:solidFill>
                <a:effectLst/>
              </a:rPr>
              <a:t>4</a:t>
            </a:r>
            <a:r>
              <a:rPr lang="en-US" sz="1200" b="1" i="0" baseline="0">
                <a:solidFill>
                  <a:schemeClr val="tx2"/>
                </a:solidFill>
                <a:effectLst/>
              </a:rPr>
              <a:t> OF </a:t>
            </a:r>
            <a:r>
              <a:rPr lang="en-US" sz="1200" b="1" i="0">
                <a:solidFill>
                  <a:schemeClr val="tx2"/>
                </a:solidFill>
                <a:effectLst/>
              </a:rPr>
              <a:t>2024</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'3.1'!$B$4</c:f>
              <c:strCache>
                <c:ptCount val="1"/>
                <c:pt idx="0">
                  <c:v>Hotels</c:v>
                </c:pt>
              </c:strCache>
            </c:strRef>
          </c:tx>
          <c:spPr>
            <a:solidFill>
              <a:schemeClr val="accent5">
                <a:lumMod val="60000"/>
                <a:lumOff val="40000"/>
              </a:schemeClr>
            </a:solidFill>
            <a:ln>
              <a:noFill/>
            </a:ln>
            <a:effectLst/>
          </c:spPr>
          <c:invertIfNegative val="0"/>
          <c:dLbls>
            <c:delete val="1"/>
          </c:dLbls>
          <c:cat>
            <c:strRef>
              <c:f>'3.1'!$A$5:$A$9</c:f>
              <c:strCache>
                <c:ptCount val="5"/>
                <c:pt idx="0">
                  <c:v>Q4, 2023</c:v>
                </c:pt>
                <c:pt idx="1">
                  <c:v>Q1, 2024</c:v>
                </c:pt>
                <c:pt idx="2">
                  <c:v>Q2, 2024</c:v>
                </c:pt>
                <c:pt idx="3">
                  <c:v>Q3, 2024</c:v>
                </c:pt>
                <c:pt idx="4">
                  <c:v>Q4, 2024</c:v>
                </c:pt>
              </c:strCache>
            </c:strRef>
          </c:cat>
          <c:val>
            <c:numRef>
              <c:f>'3.1'!$B$5:$B$9</c:f>
              <c:numCache>
                <c:formatCode>_(* #,##0_);_(* \(#,##0\);_(* "-"??_);_(@_)</c:formatCode>
                <c:ptCount val="5"/>
                <c:pt idx="0">
                  <c:v>1161</c:v>
                </c:pt>
                <c:pt idx="1">
                  <c:v>1441</c:v>
                </c:pt>
                <c:pt idx="2">
                  <c:v>1696</c:v>
                </c:pt>
                <c:pt idx="3">
                  <c:v>1971</c:v>
                </c:pt>
                <c:pt idx="4">
                  <c:v>2163</c:v>
                </c:pt>
              </c:numCache>
            </c:numRef>
          </c:val>
          <c:extLst>
            <c:ext xmlns:c16="http://schemas.microsoft.com/office/drawing/2014/chart" uri="{C3380CC4-5D6E-409C-BE32-E72D297353CC}">
              <c16:uniqueId val="{00000000-9180-46ED-AB7B-7298F20C658E}"/>
            </c:ext>
          </c:extLst>
        </c:ser>
        <c:ser>
          <c:idx val="1"/>
          <c:order val="1"/>
          <c:tx>
            <c:strRef>
              <c:f>'3.1'!$C$4</c:f>
              <c:strCache>
                <c:ptCount val="1"/>
                <c:pt idx="0">
                  <c:v>Serviced apartments and other hospitality facilities</c:v>
                </c:pt>
              </c:strCache>
            </c:strRef>
          </c:tx>
          <c:spPr>
            <a:solidFill>
              <a:srgbClr val="0070C0"/>
            </a:solidFill>
            <a:ln>
              <a:noFill/>
            </a:ln>
            <a:effectLst/>
          </c:spPr>
          <c:invertIfNegative val="0"/>
          <c:dLbls>
            <c:delete val="1"/>
          </c:dLbls>
          <c:cat>
            <c:strRef>
              <c:f>'3.1'!$A$5:$A$9</c:f>
              <c:strCache>
                <c:ptCount val="5"/>
                <c:pt idx="0">
                  <c:v>Q4, 2023</c:v>
                </c:pt>
                <c:pt idx="1">
                  <c:v>Q1, 2024</c:v>
                </c:pt>
                <c:pt idx="2">
                  <c:v>Q2, 2024</c:v>
                </c:pt>
                <c:pt idx="3">
                  <c:v>Q3, 2024</c:v>
                </c:pt>
                <c:pt idx="4">
                  <c:v>Q4, 2024</c:v>
                </c:pt>
              </c:strCache>
            </c:strRef>
          </c:cat>
          <c:val>
            <c:numRef>
              <c:f>'3.1'!$C$5:$C$9</c:f>
              <c:numCache>
                <c:formatCode>_(* #,##0_);_(* \(#,##0\);_(* "-"??_);_(@_)</c:formatCode>
                <c:ptCount val="5"/>
                <c:pt idx="0">
                  <c:v>1182</c:v>
                </c:pt>
                <c:pt idx="1">
                  <c:v>1361</c:v>
                </c:pt>
                <c:pt idx="2">
                  <c:v>1675</c:v>
                </c:pt>
                <c:pt idx="3">
                  <c:v>2027</c:v>
                </c:pt>
                <c:pt idx="4">
                  <c:v>2262</c:v>
                </c:pt>
              </c:numCache>
            </c:numRef>
          </c:val>
          <c:extLst>
            <c:ext xmlns:c16="http://schemas.microsoft.com/office/drawing/2014/chart" uri="{C3380CC4-5D6E-409C-BE32-E72D297353CC}">
              <c16:uniqueId val="{00000001-9180-46ED-AB7B-7298F20C658E}"/>
            </c:ext>
          </c:extLst>
        </c:ser>
        <c:ser>
          <c:idx val="2"/>
          <c:order val="2"/>
          <c:tx>
            <c:strRef>
              <c:f>'3.1'!$D$4</c:f>
              <c:strCache>
                <c:ptCount val="1"/>
                <c:pt idx="0">
                  <c:v>Total</c:v>
                </c:pt>
              </c:strCache>
            </c:strRef>
          </c:tx>
          <c:spPr>
            <a:solidFill>
              <a:schemeClr val="accent3">
                <a:lumMod val="60000"/>
                <a:lumOff val="40000"/>
              </a:schemeClr>
            </a:solidFill>
            <a:ln>
              <a:noFill/>
            </a:ln>
            <a:effectLst/>
          </c:spPr>
          <c:invertIfNegative val="0"/>
          <c:dLbls>
            <c:delete val="1"/>
          </c:dLbls>
          <c:cat>
            <c:strRef>
              <c:f>'3.1'!$A$5:$A$9</c:f>
              <c:strCache>
                <c:ptCount val="5"/>
                <c:pt idx="0">
                  <c:v>Q4, 2023</c:v>
                </c:pt>
                <c:pt idx="1">
                  <c:v>Q1, 2024</c:v>
                </c:pt>
                <c:pt idx="2">
                  <c:v>Q2, 2024</c:v>
                </c:pt>
                <c:pt idx="3">
                  <c:v>Q3, 2024</c:v>
                </c:pt>
                <c:pt idx="4">
                  <c:v>Q4, 2024</c:v>
                </c:pt>
              </c:strCache>
            </c:strRef>
          </c:cat>
          <c:val>
            <c:numRef>
              <c:f>'3.1'!$D$5:$D$9</c:f>
              <c:numCache>
                <c:formatCode>_(* #,##0_);_(* \(#,##0\);_(* "-"??_);_(@_)</c:formatCode>
                <c:ptCount val="5"/>
                <c:pt idx="0">
                  <c:v>2343</c:v>
                </c:pt>
                <c:pt idx="1">
                  <c:v>2802</c:v>
                </c:pt>
                <c:pt idx="2">
                  <c:v>3371</c:v>
                </c:pt>
                <c:pt idx="3">
                  <c:v>3998</c:v>
                </c:pt>
                <c:pt idx="4">
                  <c:v>4425</c:v>
                </c:pt>
              </c:numCache>
            </c:numRef>
          </c:val>
          <c:extLst>
            <c:ext xmlns:c16="http://schemas.microsoft.com/office/drawing/2014/chart" uri="{C3380CC4-5D6E-409C-BE32-E72D297353CC}">
              <c16:uniqueId val="{00000002-9180-46ED-AB7B-7298F20C658E}"/>
            </c:ext>
          </c:extLst>
        </c:ser>
        <c:dLbls>
          <c:dLblPos val="outEnd"/>
          <c:showLegendKey val="0"/>
          <c:showVal val="1"/>
          <c:showCatName val="0"/>
          <c:showSerName val="0"/>
          <c:showPercent val="0"/>
          <c:showBubbleSize val="0"/>
        </c:dLbls>
        <c:gapWidth val="219"/>
        <c:overlap val="-27"/>
        <c:axId val="949900848"/>
        <c:axId val="949909008"/>
      </c:barChart>
      <c:catAx>
        <c:axId val="94990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solidFill>
                <a:latin typeface="Frutiger LT 55 Roman" panose="02000503040000020004" pitchFamily="2" charset="0"/>
                <a:ea typeface="+mn-ea"/>
                <a:cs typeface="+mn-cs"/>
              </a:defRPr>
            </a:pPr>
            <a:endParaRPr lang="en-US"/>
          </a:p>
        </c:txPr>
        <c:crossAx val="949909008"/>
        <c:crosses val="autoZero"/>
        <c:auto val="1"/>
        <c:lblAlgn val="ctr"/>
        <c:lblOffset val="100"/>
        <c:noMultiLvlLbl val="0"/>
      </c:catAx>
      <c:valAx>
        <c:axId val="9499090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chemeClr val="tx1"/>
                </a:solidFill>
                <a:latin typeface="Frutiger LT 55 Roman" panose="02000503040000020004" pitchFamily="2" charset="0"/>
                <a:ea typeface="+mn-ea"/>
                <a:cs typeface="+mn-cs"/>
              </a:defRPr>
            </a:pPr>
            <a:endParaRPr lang="ar-SA"/>
          </a:p>
        </c:txPr>
        <c:crossAx val="949900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800" b="0" i="0" u="none" strike="noStrike" kern="1200" baseline="0">
              <a:solidFill>
                <a:schemeClr val="tx1"/>
              </a:solidFill>
              <a:latin typeface="Frutiger LT 55 Roman" panose="02000503040000020004"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cap="all" baseline="0">
                <a:solidFill>
                  <a:schemeClr val="tx2"/>
                </a:solidFill>
              </a:rPr>
              <a:t>Room occupancy rate in serviced apartments and other hospitality facilities by administrative regions (%) in Q4 of 2024</a:t>
            </a:r>
          </a:p>
        </c:rich>
      </c:tx>
      <c:layout>
        <c:manualLayout>
          <c:xMode val="edge"/>
          <c:yMode val="edge"/>
          <c:x val="0.13710825446257183"/>
          <c:y val="2.203881375690392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ar-SA"/>
        </a:p>
      </c:txPr>
    </c:title>
    <c:autoTitleDeleted val="0"/>
    <c:plotArea>
      <c:layout>
        <c:manualLayout>
          <c:layoutTarget val="inner"/>
          <c:xMode val="edge"/>
          <c:yMode val="edge"/>
          <c:x val="0.25587716565302659"/>
          <c:y val="0.13790473842341897"/>
          <c:w val="0.6950946829495972"/>
          <c:h val="0.81070885322797392"/>
        </c:manualLayout>
      </c:layout>
      <c:barChart>
        <c:barDir val="bar"/>
        <c:grouping val="cluster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ysClr val="windowText" lastClr="000000"/>
                    </a:solidFill>
                    <a:latin typeface="Frutiger LT 55 Roman" panose="02000503040000020004" pitchFamily="2" charset="0"/>
                    <a:ea typeface="+mn-ea"/>
                    <a:cs typeface="+mj-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'3.2'!$F$5:$F$17</c:f>
              <c:numCache>
                <c:formatCode>0.0%</c:formatCode>
                <c:ptCount val="13"/>
                <c:pt idx="0">
                  <c:v>0.71527329697919528</c:v>
                </c:pt>
                <c:pt idx="1">
                  <c:v>0.46878632147128219</c:v>
                </c:pt>
                <c:pt idx="2">
                  <c:v>0.59599475437523031</c:v>
                </c:pt>
                <c:pt idx="3">
                  <c:v>0.48726164426383245</c:v>
                </c:pt>
                <c:pt idx="4">
                  <c:v>0.39918473901150597</c:v>
                </c:pt>
                <c:pt idx="5">
                  <c:v>0.50302058329227861</c:v>
                </c:pt>
                <c:pt idx="6">
                  <c:v>0.50897688823250642</c:v>
                </c:pt>
                <c:pt idx="7">
                  <c:v>0.51362305652176521</c:v>
                </c:pt>
                <c:pt idx="8">
                  <c:v>0.55208422739106799</c:v>
                </c:pt>
                <c:pt idx="9">
                  <c:v>0.42095284268485894</c:v>
                </c:pt>
                <c:pt idx="10">
                  <c:v>0.57628294036061023</c:v>
                </c:pt>
                <c:pt idx="11">
                  <c:v>0.43390034564449104</c:v>
                </c:pt>
                <c:pt idx="12">
                  <c:v>0.29235980983397297</c:v>
                </c:pt>
              </c:numCache>
            </c:numRef>
          </c:val>
          <c:extLst>
            <c:ext xmlns:c16="http://schemas.microsoft.com/office/drawing/2014/chart" uri="{C3380CC4-5D6E-409C-BE32-E72D297353CC}">
              <c16:uniqueId val="{00000000-7F39-473F-958E-38145407151F}"/>
            </c:ext>
          </c:extLst>
        </c:ser>
        <c:dLbls>
          <c:dLblPos val="outEnd"/>
          <c:showLegendKey val="0"/>
          <c:showVal val="1"/>
          <c:showCatName val="0"/>
          <c:showSerName val="0"/>
          <c:showPercent val="0"/>
          <c:showBubbleSize val="0"/>
        </c:dLbls>
        <c:gapWidth val="50"/>
        <c:axId val="1601882240"/>
        <c:axId val="1601883200"/>
      </c:barChart>
      <c:catAx>
        <c:axId val="1601882240"/>
        <c:scaling>
          <c:orientation val="maxMin"/>
        </c:scaling>
        <c:delete val="0"/>
        <c:axPos val="l"/>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j-cs"/>
              </a:defRPr>
            </a:pPr>
            <a:endParaRPr lang="ar-SA"/>
          </a:p>
        </c:txPr>
        <c:crossAx val="1601883200"/>
        <c:crosses val="autoZero"/>
        <c:auto val="1"/>
        <c:lblAlgn val="ctr"/>
        <c:lblOffset val="100"/>
        <c:noMultiLvlLbl val="0"/>
      </c:catAx>
      <c:valAx>
        <c:axId val="1601883200"/>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601882240"/>
        <c:crosses val="autoZero"/>
        <c:crossBetween val="between"/>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cap="all" baseline="0">
                <a:solidFill>
                  <a:schemeClr val="tx2"/>
                </a:solidFill>
              </a:rPr>
              <a:t> Room occupancy rate in hotels by administrative regions (%) in Q4 of 2024</a:t>
            </a:r>
          </a:p>
        </c:rich>
      </c:tx>
      <c:layout>
        <c:manualLayout>
          <c:xMode val="edge"/>
          <c:yMode val="edge"/>
          <c:x val="0.1681524922413663"/>
          <c:y val="3.853598143420882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ar-SA"/>
        </a:p>
      </c:txPr>
    </c:title>
    <c:autoTitleDeleted val="0"/>
    <c:plotArea>
      <c:layout>
        <c:manualLayout>
          <c:layoutTarget val="inner"/>
          <c:xMode val="edge"/>
          <c:yMode val="edge"/>
          <c:x val="0.2556993917610671"/>
          <c:y val="0.13058350345095751"/>
          <c:w val="0.68832798924032224"/>
          <c:h val="0.79930835034509562"/>
        </c:manualLayout>
      </c:layout>
      <c:barChart>
        <c:barDir val="bar"/>
        <c:grouping val="clustered"/>
        <c:varyColors val="0"/>
        <c:ser>
          <c:idx val="1"/>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'3.3'!$B$5:$B$17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'3.3'!$F$5:$F$17</c:f>
              <c:numCache>
                <c:formatCode>0.0%</c:formatCode>
                <c:ptCount val="13"/>
                <c:pt idx="0">
                  <c:v>0.72035532272075742</c:v>
                </c:pt>
                <c:pt idx="1">
                  <c:v>0.49327017110694671</c:v>
                </c:pt>
                <c:pt idx="2">
                  <c:v>0.6019002693565676</c:v>
                </c:pt>
                <c:pt idx="3">
                  <c:v>0.74774153326100845</c:v>
                </c:pt>
                <c:pt idx="4">
                  <c:v>0.34822913554704393</c:v>
                </c:pt>
                <c:pt idx="5">
                  <c:v>0.44377779942209666</c:v>
                </c:pt>
                <c:pt idx="6">
                  <c:v>0.46509044877291844</c:v>
                </c:pt>
                <c:pt idx="7">
                  <c:v>0.45522733021097711</c:v>
                </c:pt>
                <c:pt idx="8">
                  <c:v>0.42600753478931785</c:v>
                </c:pt>
                <c:pt idx="9">
                  <c:v>0.38529268775771108</c:v>
                </c:pt>
                <c:pt idx="10">
                  <c:v>0.41633541392904072</c:v>
                </c:pt>
                <c:pt idx="11">
                  <c:v>0.4516053157709044</c:v>
                </c:pt>
                <c:pt idx="12">
                  <c:v>0.2679444263412033</c:v>
                </c:pt>
              </c:numCache>
            </c:numRef>
          </c:val>
          <c:extLst>
            <c:ext xmlns:c16="http://schemas.microsoft.com/office/drawing/2014/chart" uri="{C3380CC4-5D6E-409C-BE32-E72D297353CC}">
              <c16:uniqueId val="{00000003-06D5-4684-A602-4A69016C1272}"/>
            </c:ext>
          </c:extLst>
        </c:ser>
        <c:dLbls>
          <c:dLblPos val="outEnd"/>
          <c:showLegendKey val="0"/>
          <c:showVal val="1"/>
          <c:showCatName val="0"/>
          <c:showSerName val="0"/>
          <c:showPercent val="0"/>
          <c:showBubbleSize val="0"/>
        </c:dLbls>
        <c:gapWidth val="50"/>
        <c:axId val="1601882240"/>
        <c:axId val="1601883200"/>
      </c:barChart>
      <c:catAx>
        <c:axId val="1601882240"/>
        <c:scaling>
          <c:orientation val="maxMin"/>
        </c:scaling>
        <c:delete val="0"/>
        <c:axPos val="l"/>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j-cs"/>
              </a:defRPr>
            </a:pPr>
            <a:endParaRPr lang="ar-SA"/>
          </a:p>
        </c:txPr>
        <c:crossAx val="1601883200"/>
        <c:crosses val="autoZero"/>
        <c:auto val="1"/>
        <c:lblAlgn val="ctr"/>
        <c:lblOffset val="100"/>
        <c:noMultiLvlLbl val="0"/>
      </c:catAx>
      <c:valAx>
        <c:axId val="1601883200"/>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601882240"/>
        <c:crosses val="autoZero"/>
        <c:crossBetween val="between"/>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cap="all" baseline="0">
                <a:solidFill>
                  <a:schemeClr val="tx2"/>
                </a:solidFill>
              </a:rPr>
              <a:t>Average daily room rate in serviced apartments and other hospitality facilities by administrative regions (SAR) in Q4 of 2024</a:t>
            </a:r>
          </a:p>
        </c:rich>
      </c:tx>
      <c:layout>
        <c:manualLayout>
          <c:xMode val="edge"/>
          <c:yMode val="edge"/>
          <c:x val="0.1505207421988918"/>
          <c:y val="2.777777777777777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ar-SA"/>
        </a:p>
      </c:txPr>
    </c:title>
    <c:autoTitleDeleted val="0"/>
    <c:plotArea>
      <c:layout>
        <c:manualLayout>
          <c:layoutTarget val="inner"/>
          <c:xMode val="edge"/>
          <c:yMode val="edge"/>
          <c:x val="0.24215523121636631"/>
          <c:y val="0.19362763933486477"/>
          <c:w val="0.70654448003278447"/>
          <c:h val="0.75126125209256733"/>
        </c:manualLayout>
      </c:layout>
      <c:barChart>
        <c:barDir val="bar"/>
        <c:grouping val="cluster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'3.4'!$B$5:$B$17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'3.4'!$F$5:$F$17</c:f>
              <c:numCache>
                <c:formatCode>#,##0</c:formatCode>
                <c:ptCount val="13"/>
                <c:pt idx="0">
                  <c:v>237.18554356388083</c:v>
                </c:pt>
                <c:pt idx="1">
                  <c:v>269.02429206440775</c:v>
                </c:pt>
                <c:pt idx="2">
                  <c:v>222.71593248379415</c:v>
                </c:pt>
                <c:pt idx="3">
                  <c:v>231.63540649262487</c:v>
                </c:pt>
                <c:pt idx="4">
                  <c:v>117.87516431649162</c:v>
                </c:pt>
                <c:pt idx="5">
                  <c:v>188.77805640791888</c:v>
                </c:pt>
                <c:pt idx="6">
                  <c:v>139.36989899775264</c:v>
                </c:pt>
                <c:pt idx="7">
                  <c:v>136.66943719095457</c:v>
                </c:pt>
                <c:pt idx="8">
                  <c:v>188.01615947497646</c:v>
                </c:pt>
                <c:pt idx="9">
                  <c:v>124.12635990360039</c:v>
                </c:pt>
                <c:pt idx="10">
                  <c:v>93.997646038006579</c:v>
                </c:pt>
                <c:pt idx="11">
                  <c:v>169.05850106257381</c:v>
                </c:pt>
                <c:pt idx="12">
                  <c:v>127.46844078538199</c:v>
                </c:pt>
              </c:numCache>
            </c:numRef>
          </c:val>
          <c:extLst>
            <c:ext xmlns:c15="http://schemas.microsoft.com/office/drawing/2012/chart" uri="{02D57815-91ED-43cb-92C2-25804820EDAC}">
              <c15:filteredSeriesTitle>
                <c15:tx>
                  <c:strRef>
                    <c:extLst>
                      <c:ext uri="{02D57815-91ED-43cb-92C2-25804820EDAC}">
                        <c15:formulaRef>
                          <c15:sqref>'[2]3'!#REF!</c15:sqref>
                        </c15:formulaRef>
                      </c:ext>
                    </c:extLst>
                  </c:strRef>
                </c15:tx>
              </c15:filteredSeriesTitle>
            </c:ext>
            <c:ext xmlns:c16="http://schemas.microsoft.com/office/drawing/2014/chart" uri="{C3380CC4-5D6E-409C-BE32-E72D297353CC}">
              <c16:uniqueId val="{00000000-C220-4BC9-B9BE-47AC728C1F78}"/>
            </c:ext>
          </c:extLst>
        </c:ser>
        <c:dLbls>
          <c:dLblPos val="outEnd"/>
          <c:showLegendKey val="0"/>
          <c:showVal val="1"/>
          <c:showCatName val="0"/>
          <c:showSerName val="0"/>
          <c:showPercent val="0"/>
          <c:showBubbleSize val="0"/>
        </c:dLbls>
        <c:gapWidth val="50"/>
        <c:axId val="1601882240"/>
        <c:axId val="1601883200"/>
      </c:barChart>
      <c:catAx>
        <c:axId val="1601882240"/>
        <c:scaling>
          <c:orientation val="maxMin"/>
        </c:scaling>
        <c:delete val="0"/>
        <c:axPos val="l"/>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601883200"/>
        <c:crosses val="autoZero"/>
        <c:auto val="1"/>
        <c:lblAlgn val="ctr"/>
        <c:lblOffset val="100"/>
        <c:noMultiLvlLbl val="0"/>
      </c:catAx>
      <c:valAx>
        <c:axId val="1601883200"/>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01882240"/>
        <c:crosses val="autoZero"/>
        <c:crossBetween val="between"/>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1" i="0" u="none" strike="noStrike" kern="1200" spc="0" baseline="0">
                <a:solidFill>
                  <a:schemeClr val="tx1">
                    <a:lumMod val="65000"/>
                    <a:lumOff val="35000"/>
                  </a:schemeClr>
                </a:solidFill>
              </a:rPr>
              <a:t>Room Prices Comparison Across Saudi Regions - Q4 2024</a:t>
            </a:r>
          </a:p>
          <a:p>
            <a:pPr>
              <a:defRPr/>
            </a:pPr>
            <a:r>
              <a:rPr lang="ar-SA" sz="1400" b="1" i="0" u="none" strike="noStrike" kern="1200" spc="0" baseline="0">
                <a:solidFill>
                  <a:schemeClr val="tx1">
                    <a:lumMod val="65000"/>
                    <a:lumOff val="35000"/>
                  </a:schemeClr>
                </a:solidFill>
              </a:rPr>
              <a:t>مقارنة اسعار الغرف حسب مناطق المملكة العربية السعودية</a:t>
            </a:r>
            <a:r>
              <a:rPr lang="en-US" sz="1400" b="1" i="0" u="none" strike="noStrike" kern="1200" spc="0" baseline="0">
                <a:solidFill>
                  <a:schemeClr val="tx1">
                    <a:lumMod val="65000"/>
                    <a:lumOff val="35000"/>
                  </a:schemeClr>
                </a:solidFill>
              </a:rPr>
              <a:t> </a:t>
            </a:r>
            <a:r>
              <a:rPr lang="ar-SA" sz="1400" b="1" i="0" u="none" strike="noStrike" kern="1200" spc="0" baseline="0">
                <a:solidFill>
                  <a:schemeClr val="tx1">
                    <a:lumMod val="65000"/>
                    <a:lumOff val="35000"/>
                  </a:schemeClr>
                </a:solidFill>
              </a:rPr>
              <a:t>الربع الرابع 2024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'Apartment Prices by Region'!$E$1</c:f>
              <c:strCache>
                <c:ptCount val="1"/>
                <c:pt idx="0">
                  <c:v> Average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7030A0"/>
                      </a:solidFill>
                    </a:ln>
                    <a:solidFill>
                      <a:srgbClr val="CBA9E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'Apartment Prices by Region'!$A$2:$A$15</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'Apartment Prices by Region'!$E$2:$E$15</c:f>
              <c:numCache>
                <c:formatCode>0</c:formatCode>
                <c:ptCount val="14"/>
                <c:pt idx="0">
                  <c:v>237.18554356388083</c:v>
                </c:pt>
                <c:pt idx="1">
                  <c:v>269.02429206440775</c:v>
                </c:pt>
                <c:pt idx="2">
                  <c:v>222.71593248379415</c:v>
                </c:pt>
                <c:pt idx="3">
                  <c:v>231.63540649262487</c:v>
                </c:pt>
                <c:pt idx="4">
                  <c:v>117.87516431649162</c:v>
                </c:pt>
                <c:pt idx="5">
                  <c:v>188.77805640791888</c:v>
                </c:pt>
                <c:pt idx="6">
                  <c:v>139.36989899775264</c:v>
                </c:pt>
                <c:pt idx="7">
                  <c:v>136.66943719095457</c:v>
                </c:pt>
                <c:pt idx="8">
                  <c:v>188.01615947497646</c:v>
                </c:pt>
                <c:pt idx="9">
                  <c:v>124.12635990360039</c:v>
                </c:pt>
                <c:pt idx="10">
                  <c:v>93.997646038006579</c:v>
                </c:pt>
                <c:pt idx="11">
                  <c:v>169.05850106257381</c:v>
                </c:pt>
                <c:pt idx="12">
                  <c:v>127.46844078538199</c:v>
                </c:pt>
              </c:numCache>
            </c:numRef>
          </c:val>
          <c:extLst>
            <c:ext xmlns:c16="http://schemas.microsoft.com/office/drawing/2014/chart" uri="{C3380CC4-5D6E-409C-BE32-E72D297353CC}">
              <c16:uniqueId val="{00000000-A317-434D-97A3-F3FD13E35251}"/>
            </c:ext>
          </c:extLst>
        </c:ser>
        <c:dLbls>
          <c:showLegendKey val="0"/>
          <c:showVal val="0"/>
          <c:showCatName val="0"/>
          <c:showSerName val="0"/>
          <c:showPercent val="0"/>
          <c:showBubbleSize val="0"/>
        </c:dLbls>
        <c:gapWidth val="182"/>
        <c:axId val="1754157871"/>
        <c:axId val="1754160271"/>
      </c:barChart>
      <c:catAx>
        <c:axId val="175415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60271"/>
        <c:crosses val="autoZero"/>
        <c:auto val="1"/>
        <c:lblAlgn val="ctr"/>
        <c:lblOffset val="100"/>
        <c:noMultiLvlLbl val="0"/>
      </c:catAx>
      <c:valAx>
        <c:axId val="17541602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578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cap="all" baseline="0">
                <a:solidFill>
                  <a:schemeClr val="tx2"/>
                </a:solidFill>
              </a:rPr>
              <a:t>Average daily room rate in hotels by administrative regions (SAR) in Q4 of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ar-SA"/>
        </a:p>
      </c:txPr>
    </c:title>
    <c:autoTitleDeleted val="0"/>
    <c:plotArea>
      <c:layout>
        <c:manualLayout>
          <c:layoutTarget val="inner"/>
          <c:xMode val="edge"/>
          <c:yMode val="edge"/>
          <c:x val="0.25549931650837682"/>
          <c:y val="0.12318295220825373"/>
          <c:w val="0.665380153991874"/>
          <c:h val="0.83151967286933026"/>
        </c:manualLayout>
      </c:layout>
      <c:barChart>
        <c:barDir val="bar"/>
        <c:grouping val="clustered"/>
        <c:varyColors val="0"/>
        <c:ser>
          <c:idx val="1"/>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'3.5'!$B$5:$B$17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'3.5'!$F$5:$F$17</c:f>
              <c:numCache>
                <c:formatCode>#,##0</c:formatCode>
                <c:ptCount val="13"/>
                <c:pt idx="0">
                  <c:v>1013.49331956228</c:v>
                </c:pt>
                <c:pt idx="1">
                  <c:v>345.17423541497277</c:v>
                </c:pt>
                <c:pt idx="2">
                  <c:v>416.68818592018744</c:v>
                </c:pt>
                <c:pt idx="3">
                  <c:v>408.16868235454854</c:v>
                </c:pt>
                <c:pt idx="4">
                  <c:v>291.86659392644361</c:v>
                </c:pt>
                <c:pt idx="5">
                  <c:v>311.24517025142143</c:v>
                </c:pt>
                <c:pt idx="6">
                  <c:v>402.24528521026423</c:v>
                </c:pt>
                <c:pt idx="7">
                  <c:v>521.0390967340694</c:v>
                </c:pt>
                <c:pt idx="8">
                  <c:v>412.03192865566024</c:v>
                </c:pt>
                <c:pt idx="9">
                  <c:v>271.21217316487775</c:v>
                </c:pt>
                <c:pt idx="10">
                  <c:v>235.97503669837619</c:v>
                </c:pt>
                <c:pt idx="11">
                  <c:v>193.45068259385681</c:v>
                </c:pt>
                <c:pt idx="12">
                  <c:v>269.75138771912634</c:v>
                </c:pt>
              </c:numCache>
            </c:numRef>
          </c:val>
          <c:extLst>
            <c:ext xmlns:c15="http://schemas.microsoft.com/office/drawing/2012/chart" uri="{02D57815-91ED-43cb-92C2-25804820EDAC}">
              <c15:filteredSeriesTitle>
                <c15:tx>
                  <c:strRef>
                    <c:extLst>
                      <c:ext uri="{02D57815-91ED-43cb-92C2-25804820EDAC}">
                        <c15:formulaRef>
                          <c15:sqref>'[3]3'!#REF!</c15:sqref>
                        </c15:formulaRef>
                      </c:ext>
                    </c:extLst>
                  </c:strRef>
                </c15:tx>
              </c15:filteredSeriesTitle>
            </c:ext>
            <c:ext xmlns:c16="http://schemas.microsoft.com/office/drawing/2014/chart" uri="{C3380CC4-5D6E-409C-BE32-E72D297353CC}">
              <c16:uniqueId val="{00000000-495C-4BA3-AFEC-99E177C8B1BB}"/>
            </c:ext>
          </c:extLst>
        </c:ser>
        <c:dLbls>
          <c:dLblPos val="outEnd"/>
          <c:showLegendKey val="0"/>
          <c:showVal val="1"/>
          <c:showCatName val="0"/>
          <c:showSerName val="0"/>
          <c:showPercent val="0"/>
          <c:showBubbleSize val="0"/>
        </c:dLbls>
        <c:gapWidth val="50"/>
        <c:axId val="1601882240"/>
        <c:axId val="1601883200"/>
      </c:barChart>
      <c:catAx>
        <c:axId val="1601882240"/>
        <c:scaling>
          <c:orientation val="maxMin"/>
        </c:scaling>
        <c:delete val="0"/>
        <c:axPos val="l"/>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601883200"/>
        <c:crosses val="autoZero"/>
        <c:auto val="1"/>
        <c:lblAlgn val="ctr"/>
        <c:lblOffset val="100"/>
        <c:noMultiLvlLbl val="0"/>
      </c:catAx>
      <c:valAx>
        <c:axId val="1601883200"/>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01882240"/>
        <c:crosses val="autoZero"/>
        <c:crossBetween val="between"/>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lumMod val="65000"/>
                    <a:lumOff val="35000"/>
                  </a:schemeClr>
                </a:solidFill>
              </a:rPr>
              <a:t>Hotel Prices Comparison Across Saudi Regions - Q4 2024</a:t>
            </a:r>
          </a:p>
          <a:p>
            <a:pPr>
              <a:defRPr/>
            </a:pPr>
            <a:r>
              <a:rPr lang="ar-SA" sz="1100" b="1">
                <a:solidFill>
                  <a:schemeClr val="tx1">
                    <a:lumMod val="65000"/>
                    <a:lumOff val="35000"/>
                  </a:schemeClr>
                </a:solidFill>
                <a:latin typeface="+mj-lt"/>
              </a:rPr>
              <a:t>مقارنة اسعار الفنادق حسب مناطق</a:t>
            </a:r>
            <a:r>
              <a:rPr lang="ar-SA" sz="1100" b="1" baseline="0">
                <a:solidFill>
                  <a:schemeClr val="tx1">
                    <a:lumMod val="65000"/>
                    <a:lumOff val="35000"/>
                  </a:schemeClr>
                </a:solidFill>
                <a:latin typeface="+mj-lt"/>
              </a:rPr>
              <a:t> المملكة العربية السعودية</a:t>
            </a:r>
            <a:r>
              <a:rPr lang="en-US" sz="1100" b="1" baseline="0">
                <a:solidFill>
                  <a:schemeClr val="tx1">
                    <a:lumMod val="65000"/>
                    <a:lumOff val="35000"/>
                  </a:schemeClr>
                </a:solidFill>
                <a:latin typeface="+mj-lt"/>
              </a:rPr>
              <a:t> </a:t>
            </a:r>
            <a:r>
              <a:rPr lang="ar-SA" sz="1100" b="1" baseline="0">
                <a:solidFill>
                  <a:schemeClr val="tx1">
                    <a:lumMod val="65000"/>
                    <a:lumOff val="35000"/>
                  </a:schemeClr>
                </a:solidFill>
                <a:latin typeface="+mj-lt"/>
              </a:rPr>
              <a:t>الربع الرابع 2024 </a:t>
            </a:r>
            <a:endParaRPr lang="en-US" sz="1100" b="1">
              <a:solidFill>
                <a:schemeClr val="tx1">
                  <a:lumMod val="65000"/>
                  <a:lumOff val="35000"/>
                </a:schemeClr>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972090988626422"/>
          <c:y val="0.23546296296296296"/>
          <c:w val="0.64827909011373575"/>
          <c:h val="0.67565616797900263"/>
        </c:manualLayout>
      </c:layout>
      <c:barChart>
        <c:barDir val="bar"/>
        <c:grouping val="clustered"/>
        <c:varyColors val="0"/>
        <c:ser>
          <c:idx val="0"/>
          <c:order val="0"/>
          <c:tx>
            <c:strRef>
              <c:f>'Hotel Prices by Region'!$E$1</c:f>
              <c:strCache>
                <c:ptCount val="1"/>
                <c:pt idx="0">
                  <c:v> Average Price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B0F0"/>
                      </a:solidFill>
                    </a:ln>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'Hotel Prices by Region'!$A$2:$A$14</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'Hotel Prices by Region'!$E$2:$E$14</c:f>
              <c:numCache>
                <c:formatCode>0</c:formatCode>
                <c:ptCount val="13"/>
                <c:pt idx="0">
                  <c:v>1013.49331956228</c:v>
                </c:pt>
                <c:pt idx="1">
                  <c:v>345.17423541497277</c:v>
                </c:pt>
                <c:pt idx="2">
                  <c:v>416.68818592018744</c:v>
                </c:pt>
                <c:pt idx="3">
                  <c:v>408.16868235454854</c:v>
                </c:pt>
                <c:pt idx="4">
                  <c:v>291.86659392644361</c:v>
                </c:pt>
                <c:pt idx="5">
                  <c:v>311.24517025142143</c:v>
                </c:pt>
                <c:pt idx="6">
                  <c:v>402.24528521026423</c:v>
                </c:pt>
                <c:pt idx="7">
                  <c:v>521.0390967340694</c:v>
                </c:pt>
                <c:pt idx="8">
                  <c:v>412.03192865566024</c:v>
                </c:pt>
                <c:pt idx="9">
                  <c:v>271.21217316487775</c:v>
                </c:pt>
                <c:pt idx="10">
                  <c:v>235.97503669837619</c:v>
                </c:pt>
                <c:pt idx="11">
                  <c:v>193.45068259385681</c:v>
                </c:pt>
                <c:pt idx="12">
                  <c:v>269.75138771912634</c:v>
                </c:pt>
              </c:numCache>
            </c:numRef>
          </c:val>
          <c:extLst>
            <c:ext xmlns:c16="http://schemas.microsoft.com/office/drawing/2014/chart" uri="{C3380CC4-5D6E-409C-BE32-E72D297353CC}">
              <c16:uniqueId val="{00000000-E45B-4B32-8F86-EBB7C053BBBA}"/>
            </c:ext>
          </c:extLst>
        </c:ser>
        <c:dLbls>
          <c:showLegendKey val="0"/>
          <c:showVal val="0"/>
          <c:showCatName val="0"/>
          <c:showSerName val="0"/>
          <c:showPercent val="0"/>
          <c:showBubbleSize val="0"/>
        </c:dLbls>
        <c:gapWidth val="182"/>
        <c:axId val="1754133871"/>
        <c:axId val="1754140111"/>
      </c:barChart>
      <c:catAx>
        <c:axId val="175413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40111"/>
        <c:crosses val="autoZero"/>
        <c:auto val="1"/>
        <c:lblAlgn val="ctr"/>
        <c:lblOffset val="100"/>
        <c:noMultiLvlLbl val="0"/>
      </c:catAx>
      <c:valAx>
        <c:axId val="17541401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338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cap="all" baseline="0">
                <a:solidFill>
                  <a:schemeClr val="tx2"/>
                </a:solidFill>
              </a:rPr>
              <a:t>Average length of stay in serviced apartments and other hospitality facilities by administrative regions (nights) in Q4 of 2024</a:t>
            </a:r>
          </a:p>
        </c:rich>
      </c:tx>
      <c:layout>
        <c:manualLayout>
          <c:xMode val="edge"/>
          <c:yMode val="edge"/>
          <c:x val="0.15854600011282824"/>
          <c:y val="3.08276939676937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ar-SA"/>
        </a:p>
      </c:txPr>
    </c:title>
    <c:autoTitleDeleted val="0"/>
    <c:plotArea>
      <c:layout>
        <c:manualLayout>
          <c:layoutTarget val="inner"/>
          <c:xMode val="edge"/>
          <c:yMode val="edge"/>
          <c:x val="0.25455027686274684"/>
          <c:y val="0.19085894396973802"/>
          <c:w val="0.69410681117237782"/>
          <c:h val="0.76781348010333428"/>
        </c:manualLayout>
      </c:layout>
      <c:barChart>
        <c:barDir val="bar"/>
        <c:grouping val="cluster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ysClr val="windowText" lastClr="000000"/>
                    </a:solidFill>
                    <a:latin typeface="Frutiger LT 55 Roman" panose="02000503040000020004" pitchFamily="2" charset="0"/>
                    <a:ea typeface="+mn-ea"/>
                    <a:cs typeface="+mj-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'3.6'!$B$5:$B$17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'3.6'!$F$5:$F$17</c:f>
              <c:numCache>
                <c:formatCode>0.0</c:formatCode>
                <c:ptCount val="13"/>
                <c:pt idx="0">
                  <c:v>2.3146919218966673</c:v>
                </c:pt>
                <c:pt idx="1">
                  <c:v>1.9576733702800229</c:v>
                </c:pt>
                <c:pt idx="2">
                  <c:v>2.2106780914895605</c:v>
                </c:pt>
                <c:pt idx="3">
                  <c:v>2.3645649549633205</c:v>
                </c:pt>
                <c:pt idx="4">
                  <c:v>2.1333358370576234</c:v>
                </c:pt>
                <c:pt idx="5">
                  <c:v>1.8544463145595416</c:v>
                </c:pt>
                <c:pt idx="6">
                  <c:v>1.7778428355505931</c:v>
                </c:pt>
                <c:pt idx="7">
                  <c:v>2.27229882495303</c:v>
                </c:pt>
                <c:pt idx="8">
                  <c:v>1.860130468150422</c:v>
                </c:pt>
                <c:pt idx="9">
                  <c:v>2.0601340694006307</c:v>
                </c:pt>
                <c:pt idx="10">
                  <c:v>2.2635598848793448</c:v>
                </c:pt>
                <c:pt idx="11">
                  <c:v>1.9947477950649093</c:v>
                </c:pt>
                <c:pt idx="12">
                  <c:v>1.9541056485355648</c:v>
                </c:pt>
              </c:numCache>
            </c:numRef>
          </c:val>
          <c:extLst>
            <c:ext xmlns:c15="http://schemas.microsoft.com/office/drawing/2012/chart" uri="{02D57815-91ED-43cb-92C2-25804820EDAC}">
              <c15:filteredSeriesTitle>
                <c15:tx>
                  <c:strRef>
                    <c:extLst>
                      <c:ext uri="{02D57815-91ED-43cb-92C2-25804820EDAC}">
                        <c15:formulaRef>
                          <c15:sqref>'[4]3'!#REF!</c15:sqref>
                        </c15:formulaRef>
                      </c:ext>
                    </c:extLst>
                  </c:strRef>
                </c15:tx>
              </c15:filteredSeriesTitle>
            </c:ext>
            <c:ext xmlns:c16="http://schemas.microsoft.com/office/drawing/2014/chart" uri="{C3380CC4-5D6E-409C-BE32-E72D297353CC}">
              <c16:uniqueId val="{00000000-6DB9-4F80-B833-D4354876340F}"/>
            </c:ext>
          </c:extLst>
        </c:ser>
        <c:dLbls>
          <c:dLblPos val="outEnd"/>
          <c:showLegendKey val="0"/>
          <c:showVal val="1"/>
          <c:showCatName val="0"/>
          <c:showSerName val="0"/>
          <c:showPercent val="0"/>
          <c:showBubbleSize val="0"/>
        </c:dLbls>
        <c:gapWidth val="50"/>
        <c:axId val="1601882240"/>
        <c:axId val="1601883200"/>
      </c:barChart>
      <c:catAx>
        <c:axId val="1601882240"/>
        <c:scaling>
          <c:orientation val="maxMin"/>
        </c:scaling>
        <c:delete val="0"/>
        <c:axPos val="l"/>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j-cs"/>
              </a:defRPr>
            </a:pPr>
            <a:endParaRPr lang="ar-SA"/>
          </a:p>
        </c:txPr>
        <c:crossAx val="1601883200"/>
        <c:crosses val="autoZero"/>
        <c:auto val="1"/>
        <c:lblAlgn val="ctr"/>
        <c:lblOffset val="100"/>
        <c:noMultiLvlLbl val="0"/>
      </c:catAx>
      <c:valAx>
        <c:axId val="1601883200"/>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601882240"/>
        <c:crosses val="autoZero"/>
        <c:crossBetween val="between"/>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cap="all" baseline="0">
                <a:solidFill>
                  <a:schemeClr val="tx2"/>
                </a:solidFill>
                <a:latin typeface="+mn-lt"/>
                <a:ea typeface="+mn-ea"/>
                <a:cs typeface="+mn-cs"/>
              </a:rPr>
              <a:t>Average length of stay in hotels by administrative regions (nights) in Q4 of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ar-SA"/>
        </a:p>
      </c:txPr>
    </c:title>
    <c:autoTitleDeleted val="0"/>
    <c:plotArea>
      <c:layout>
        <c:manualLayout>
          <c:layoutTarget val="inner"/>
          <c:xMode val="edge"/>
          <c:yMode val="edge"/>
          <c:x val="0.24361237308732039"/>
          <c:y val="0.12041932636550692"/>
          <c:w val="0.71126464331461503"/>
          <c:h val="0.79803003791192761"/>
        </c:manualLayout>
      </c:layout>
      <c:barChart>
        <c:barDir val="bar"/>
        <c:grouping val="clustered"/>
        <c:varyColors val="0"/>
        <c:ser>
          <c:idx val="1"/>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'3.7'!$B$5:$B$17</c:f>
              <c:strCache>
                <c:ptCount val="13"/>
                <c:pt idx="0">
                  <c:v>Riyadh Region</c:v>
                </c:pt>
                <c:pt idx="1">
                  <c:v>Makkah Region</c:v>
                </c:pt>
                <c:pt idx="2">
                  <c:v>Eastern Region</c:v>
                </c:pt>
                <c:pt idx="3">
                  <c:v>Madinah Region</c:v>
                </c:pt>
                <c:pt idx="4">
                  <c:v>Aseer Region</c:v>
                </c:pt>
                <c:pt idx="5">
                  <c:v>Jazan Region</c:v>
                </c:pt>
                <c:pt idx="6">
                  <c:v>Qassim Region</c:v>
                </c:pt>
                <c:pt idx="7">
                  <c:v>Tabuk Region</c:v>
                </c:pt>
                <c:pt idx="8">
                  <c:v>Hail Region</c:v>
                </c:pt>
                <c:pt idx="9">
                  <c:v>Al-Jouf Region</c:v>
                </c:pt>
                <c:pt idx="10">
                  <c:v>Najran Region</c:v>
                </c:pt>
                <c:pt idx="11">
                  <c:v>Northern Borders Region</c:v>
                </c:pt>
                <c:pt idx="12">
                  <c:v>Al-Baha Region</c:v>
                </c:pt>
              </c:strCache>
            </c:strRef>
          </c:cat>
          <c:val>
            <c:numRef>
              <c:f>'3.7'!$F$5:$F$17</c:f>
              <c:numCache>
                <c:formatCode>#,##0.0</c:formatCode>
                <c:ptCount val="13"/>
                <c:pt idx="0">
                  <c:v>2.8638607456760976</c:v>
                </c:pt>
                <c:pt idx="1">
                  <c:v>4.0960859737137456</c:v>
                </c:pt>
                <c:pt idx="2">
                  <c:v>2.2266326830255703</c:v>
                </c:pt>
                <c:pt idx="3">
                  <c:v>3.5362116849161782</c:v>
                </c:pt>
                <c:pt idx="4">
                  <c:v>1.8783221935687595</c:v>
                </c:pt>
                <c:pt idx="5">
                  <c:v>1.7180292472274021</c:v>
                </c:pt>
                <c:pt idx="6">
                  <c:v>1.688822104863887</c:v>
                </c:pt>
                <c:pt idx="7">
                  <c:v>2.4852781734305576</c:v>
                </c:pt>
                <c:pt idx="8">
                  <c:v>1.6277499111339311</c:v>
                </c:pt>
                <c:pt idx="9">
                  <c:v>2.0456843625857712</c:v>
                </c:pt>
                <c:pt idx="10">
                  <c:v>2.1355399408284024</c:v>
                </c:pt>
                <c:pt idx="11">
                  <c:v>1.9621489621489621</c:v>
                </c:pt>
                <c:pt idx="12">
                  <c:v>1.640164983643863</c:v>
                </c:pt>
              </c:numCache>
            </c:numRef>
          </c:val>
          <c:extLst>
            <c:ext xmlns:c15="http://schemas.microsoft.com/office/drawing/2012/chart" uri="{02D57815-91ED-43cb-92C2-25804820EDAC}">
              <c15:filteredSeriesTitle>
                <c15:tx>
                  <c:strRef>
                    <c:extLst>
                      <c:ext uri="{02D57815-91ED-43cb-92C2-25804820EDAC}">
                        <c15:formulaRef>
                          <c15:sqref>'[5]3'!#REF!</c15:sqref>
                        </c15:formulaRef>
                      </c:ext>
                    </c:extLst>
                  </c:strRef>
                </c15:tx>
              </c15:filteredSeriesTitle>
            </c:ext>
            <c:ext xmlns:c16="http://schemas.microsoft.com/office/drawing/2014/chart" uri="{C3380CC4-5D6E-409C-BE32-E72D297353CC}">
              <c16:uniqueId val="{00000000-5C9C-4CE8-82ED-4DA51D2EB471}"/>
            </c:ext>
          </c:extLst>
        </c:ser>
        <c:dLbls>
          <c:dLblPos val="outEnd"/>
          <c:showLegendKey val="0"/>
          <c:showVal val="1"/>
          <c:showCatName val="0"/>
          <c:showSerName val="0"/>
          <c:showPercent val="0"/>
          <c:showBubbleSize val="0"/>
        </c:dLbls>
        <c:gapWidth val="50"/>
        <c:axId val="1601882240"/>
        <c:axId val="1601883200"/>
      </c:barChart>
      <c:catAx>
        <c:axId val="1601882240"/>
        <c:scaling>
          <c:orientation val="maxMin"/>
        </c:scaling>
        <c:delete val="0"/>
        <c:axPos val="l"/>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lgn="ct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1601883200"/>
        <c:crosses val="autoZero"/>
        <c:auto val="1"/>
        <c:lblAlgn val="ctr"/>
        <c:lblOffset val="100"/>
        <c:noMultiLvlLbl val="0"/>
      </c:catAx>
      <c:valAx>
        <c:axId val="1601883200"/>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601882240"/>
        <c:crosses val="autoZero"/>
        <c:crossBetween val="between"/>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1" i="0" u="none" strike="noStrike" kern="1200" cap="all" spc="0" baseline="0">
                <a:solidFill>
                  <a:schemeClr val="tx2"/>
                </a:solidFill>
                <a:latin typeface="+mn-lt"/>
                <a:ea typeface="+mn-ea"/>
                <a:cs typeface="+mn-cs"/>
              </a:defRPr>
            </a:pPr>
            <a:r>
              <a:rPr lang="en-US" sz="1200" b="1" i="0" u="none" strike="noStrike" kern="1200" cap="all" spc="0" baseline="0">
                <a:solidFill>
                  <a:schemeClr val="tx2"/>
                </a:solidFill>
                <a:latin typeface="+mn-lt"/>
                <a:ea typeface="+mn-ea"/>
                <a:cs typeface="+mn-cs"/>
              </a:rPr>
              <a:t>Change over q4 2023 in rooms occupancy rate by month and type of facility(%)</a:t>
            </a:r>
          </a:p>
        </c:rich>
      </c:tx>
      <c:overlay val="0"/>
      <c:spPr>
        <a:noFill/>
        <a:ln>
          <a:noFill/>
        </a:ln>
        <a:effectLst/>
      </c:spPr>
      <c:txPr>
        <a:bodyPr rot="0" spcFirstLastPara="1" vertOverflow="ellipsis" vert="horz" wrap="square" anchor="ctr" anchorCtr="1"/>
        <a:lstStyle/>
        <a:p>
          <a:pPr algn="ctr" rtl="0">
            <a:defRPr lang="en-US" sz="1200" b="1" i="0" u="none" strike="noStrike" kern="1200" cap="all" spc="0" baseline="0">
              <a:solidFill>
                <a:schemeClr val="tx2"/>
              </a:solidFill>
              <a:latin typeface="+mn-lt"/>
              <a:ea typeface="+mn-ea"/>
              <a:cs typeface="+mn-cs"/>
            </a:defRPr>
          </a:pPr>
          <a:endParaRPr lang="ar-SA"/>
        </a:p>
      </c:txPr>
    </c:title>
    <c:autoTitleDeleted val="0"/>
    <c:plotArea>
      <c:layout>
        <c:manualLayout>
          <c:layoutTarget val="inner"/>
          <c:xMode val="edge"/>
          <c:yMode val="edge"/>
          <c:x val="3.2407407407407406E-2"/>
          <c:y val="0.21306355465581706"/>
          <c:w val="0.93009277486147568"/>
          <c:h val="0.59969032107036646"/>
        </c:manualLayout>
      </c:layout>
      <c:barChart>
        <c:barDir val="col"/>
        <c:grouping val="clustered"/>
        <c:varyColors val="0"/>
        <c:ser>
          <c:idx val="0"/>
          <c:order val="0"/>
          <c:tx>
            <c:strRef>
              <c:f>'3.8'!$A$5:$E$5</c:f>
              <c:strCache>
                <c:ptCount val="5"/>
                <c:pt idx="0">
                  <c:v>Hotels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'3.8'!$C$4:$E$4</c:f>
              <c:strCache>
                <c:ptCount val="3"/>
                <c:pt idx="0">
                  <c:v>October</c:v>
                </c:pt>
                <c:pt idx="1">
                  <c:v>November</c:v>
                </c:pt>
                <c:pt idx="2">
                  <c:v>December</c:v>
                </c:pt>
              </c:strCache>
            </c:strRef>
          </c:cat>
          <c:val>
            <c:numRef>
              <c:f>'3.8'!$C$8:$E$8</c:f>
              <c:numCache>
                <c:formatCode>0.0%</c:formatCode>
                <c:ptCount val="3"/>
                <c:pt idx="0">
                  <c:v>-8.6068351623326156E-2</c:v>
                </c:pt>
                <c:pt idx="1">
                  <c:v>-8.8162897145626237E-2</c:v>
                </c:pt>
                <c:pt idx="2">
                  <c:v>-4.1002142590021308E-2</c:v>
                </c:pt>
              </c:numCache>
            </c:numRef>
          </c:val>
          <c:extLst>
            <c:ext xmlns:c16="http://schemas.microsoft.com/office/drawing/2014/chart" uri="{C3380CC4-5D6E-409C-BE32-E72D297353CC}">
              <c16:uniqueId val="{00000000-A56A-49B7-82F7-7A1780D41EA9}"/>
            </c:ext>
          </c:extLst>
        </c:ser>
        <c:ser>
          <c:idx val="1"/>
          <c:order val="1"/>
          <c:tx>
            <c:strRef>
              <c:f>'3.8'!$A$9:$E$9</c:f>
              <c:strCache>
                <c:ptCount val="5"/>
                <c:pt idx="0">
                  <c:v>Serviced apartments and other hospitality facilities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'3.8'!$C$4:$E$4</c:f>
              <c:strCache>
                <c:ptCount val="3"/>
                <c:pt idx="0">
                  <c:v>October</c:v>
                </c:pt>
                <c:pt idx="1">
                  <c:v>November</c:v>
                </c:pt>
                <c:pt idx="2">
                  <c:v>December</c:v>
                </c:pt>
              </c:strCache>
            </c:strRef>
          </c:cat>
          <c:val>
            <c:numRef>
              <c:f>'3.8'!$C$12:$E$12</c:f>
              <c:numCache>
                <c:formatCode>0.0%</c:formatCode>
                <c:ptCount val="3"/>
                <c:pt idx="0">
                  <c:v>1.0371202172178269E-2</c:v>
                </c:pt>
                <c:pt idx="1">
                  <c:v>-9.9589424774629504E-4</c:v>
                </c:pt>
                <c:pt idx="2">
                  <c:v>1.778597186961289E-2</c:v>
                </c:pt>
              </c:numCache>
            </c:numRef>
          </c:val>
          <c:extLst>
            <c:ext xmlns:c16="http://schemas.microsoft.com/office/drawing/2014/chart" uri="{C3380CC4-5D6E-409C-BE32-E72D297353CC}">
              <c16:uniqueId val="{00000001-A56A-49B7-82F7-7A1780D41EA9}"/>
            </c:ext>
          </c:extLst>
        </c:ser>
        <c:dLbls>
          <c:dLblPos val="outEnd"/>
          <c:showLegendKey val="0"/>
          <c:showVal val="1"/>
          <c:showCatName val="0"/>
          <c:showSerName val="0"/>
          <c:showPercent val="0"/>
          <c:showBubbleSize val="0"/>
        </c:dLbls>
        <c:gapWidth val="219"/>
        <c:overlap val="-27"/>
        <c:axId val="684585119"/>
        <c:axId val="684587519"/>
      </c:barChart>
      <c:catAx>
        <c:axId val="684585119"/>
        <c:scaling>
          <c:orientation val="minMax"/>
        </c:scaling>
        <c:delete val="0"/>
        <c:axPos val="b"/>
        <c:numFmt formatCode="General" sourceLinked="1"/>
        <c:majorTickMark val="none"/>
        <c:minorTickMark val="none"/>
        <c:tickLblPos val="low"/>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684587519"/>
        <c:crosses val="autoZero"/>
        <c:auto val="1"/>
        <c:lblAlgn val="ctr"/>
        <c:lblOffset val="100"/>
        <c:noMultiLvlLbl val="0"/>
      </c:catAx>
      <c:valAx>
        <c:axId val="684587519"/>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684585119"/>
        <c:crosses val="autoZero"/>
        <c:crossBetween val="between"/>
      </c:valAx>
      <c:spPr>
        <a:noFill/>
        <a:ln>
          <a:noFill/>
        </a:ln>
        <a:effectLst/>
      </c:spPr>
    </c:plotArea>
    <c:legend>
      <c:legendPos val="r"/>
      <c:layout>
        <c:manualLayout>
          <c:xMode val="edge"/>
          <c:yMode val="edge"/>
          <c:x val="0.18721339763325431"/>
          <c:y val="0.91538832681934978"/>
          <c:w val="0.67829496226466501"/>
          <c:h val="6.7343311741992484E-2"/>
        </c:manualLayout>
      </c:layout>
      <c:overlay val="0"/>
      <c:spPr>
        <a:noFill/>
        <a:ln>
          <a:noFill/>
        </a:ln>
        <a:effectLst/>
      </c:spPr>
      <c:txPr>
        <a:bodyPr rot="0" spcFirstLastPara="1" vertOverflow="ellipsis" vert="horz" wrap="square" anchor="ctr" anchorCtr="1"/>
        <a:lstStyle/>
        <a:p>
          <a:pPr>
            <a:defRPr lang="en-US" sz="800" b="0" i="0" u="none" strike="noStrike" kern="1200" baseline="0">
              <a:solidFill>
                <a:sysClr val="windowText" lastClr="000000"/>
              </a:solidFill>
              <a:latin typeface="Frutiger LT 55 Roman" panose="02000503040000020004" pitchFamily="2" charset="0"/>
              <a:ea typeface="+mn-ea"/>
              <a:cs typeface="+mn-cs"/>
            </a:defRPr>
          </a:pPr>
          <a:endParaRPr lang="ar-SA"/>
        </a:p>
      </c:txPr>
    </c:legend>
    <c:plotVisOnly val="1"/>
    <c:dispBlanksAs val="gap"/>
    <c:showDLblsOverMax val="0"/>
  </c:chart>
  <c:spPr>
    <a:solidFill>
      <a:schemeClr val="bg1"/>
    </a:solidFill>
    <a:ln w="12700"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ar-SA"/>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kern="1200" cap="all" spc="0" baseline="0">
                <a:solidFill>
                  <a:schemeClr val="tx2"/>
                </a:solidFill>
              </a:rPr>
              <a:t>CHANGE over Q4 2023 IN Average daily rate by month and type of facility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ar-SA"/>
        </a:p>
      </c:txPr>
    </c:title>
    <c:autoTitleDeleted val="0"/>
    <c:plotArea>
      <c:layout>
        <c:manualLayout>
          <c:layoutTarget val="inner"/>
          <c:xMode val="edge"/>
          <c:yMode val="edge"/>
          <c:x val="2.5462962962962962E-2"/>
          <c:y val="0.22337266111414911"/>
          <c:w val="0.95432451151939346"/>
          <c:h val="0.5719965216543792"/>
        </c:manualLayout>
      </c:layout>
      <c:barChart>
        <c:barDir val="col"/>
        <c:grouping val="clustered"/>
        <c:varyColors val="0"/>
        <c:ser>
          <c:idx val="0"/>
          <c:order val="0"/>
          <c:tx>
            <c:strRef>
              <c:f>'3.9'!$A$5:$E$5</c:f>
              <c:strCache>
                <c:ptCount val="5"/>
                <c:pt idx="0">
                  <c:v>Hotels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'3.9'!$C$4:$E$4</c:f>
              <c:strCache>
                <c:ptCount val="3"/>
                <c:pt idx="0">
                  <c:v>October</c:v>
                </c:pt>
                <c:pt idx="1">
                  <c:v>November</c:v>
                </c:pt>
                <c:pt idx="2">
                  <c:v>December</c:v>
                </c:pt>
              </c:strCache>
            </c:strRef>
          </c:cat>
          <c:val>
            <c:numRef>
              <c:f>'3.9'!$C$8:$E$8</c:f>
              <c:numCache>
                <c:formatCode>0.0%</c:formatCode>
                <c:ptCount val="3"/>
                <c:pt idx="0">
                  <c:v>-3.8022301198691009E-2</c:v>
                </c:pt>
                <c:pt idx="1">
                  <c:v>-4.0869357947539875E-2</c:v>
                </c:pt>
                <c:pt idx="2">
                  <c:v>1.327907890822049E-2</c:v>
                </c:pt>
              </c:numCache>
            </c:numRef>
          </c:val>
          <c:extLst>
            <c:ext xmlns:c16="http://schemas.microsoft.com/office/drawing/2014/chart" uri="{C3380CC4-5D6E-409C-BE32-E72D297353CC}">
              <c16:uniqueId val="{00000000-7AD7-4266-AEDD-AE584C902432}"/>
            </c:ext>
          </c:extLst>
        </c:ser>
        <c:ser>
          <c:idx val="1"/>
          <c:order val="1"/>
          <c:tx>
            <c:strRef>
              <c:f>'3.9'!$A$9:$E$9</c:f>
              <c:strCache>
                <c:ptCount val="5"/>
                <c:pt idx="0">
                  <c:v>Serviced apartments and other hospitality facilities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'3.9'!$C$4:$E$4</c:f>
              <c:strCache>
                <c:ptCount val="3"/>
                <c:pt idx="0">
                  <c:v>October</c:v>
                </c:pt>
                <c:pt idx="1">
                  <c:v>November</c:v>
                </c:pt>
                <c:pt idx="2">
                  <c:v>December</c:v>
                </c:pt>
              </c:strCache>
            </c:strRef>
          </c:cat>
          <c:val>
            <c:numRef>
              <c:f>'3.9'!$C$12:$E$12</c:f>
              <c:numCache>
                <c:formatCode>0.0%</c:formatCode>
                <c:ptCount val="3"/>
                <c:pt idx="0">
                  <c:v>0.17816963840370689</c:v>
                </c:pt>
                <c:pt idx="1">
                  <c:v>0.44946351831443881</c:v>
                </c:pt>
                <c:pt idx="2">
                  <c:v>8.3167913436490437E-2</c:v>
                </c:pt>
              </c:numCache>
            </c:numRef>
          </c:val>
          <c:extLst>
            <c:ext xmlns:c16="http://schemas.microsoft.com/office/drawing/2014/chart" uri="{C3380CC4-5D6E-409C-BE32-E72D297353CC}">
              <c16:uniqueId val="{00000001-7AD7-4266-AEDD-AE584C902432}"/>
            </c:ext>
          </c:extLst>
        </c:ser>
        <c:dLbls>
          <c:dLblPos val="outEnd"/>
          <c:showLegendKey val="0"/>
          <c:showVal val="1"/>
          <c:showCatName val="0"/>
          <c:showSerName val="0"/>
          <c:showPercent val="0"/>
          <c:showBubbleSize val="0"/>
        </c:dLbls>
        <c:gapWidth val="219"/>
        <c:overlap val="-27"/>
        <c:axId val="574941631"/>
        <c:axId val="574939231"/>
      </c:barChart>
      <c:catAx>
        <c:axId val="574941631"/>
        <c:scaling>
          <c:orientation val="minMax"/>
        </c:scaling>
        <c:delete val="0"/>
        <c:axPos val="b"/>
        <c:numFmt formatCode="General" sourceLinked="1"/>
        <c:majorTickMark val="none"/>
        <c:minorTickMark val="none"/>
        <c:tickLblPos val="low"/>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574939231"/>
        <c:crosses val="autoZero"/>
        <c:auto val="1"/>
        <c:lblAlgn val="ctr"/>
        <c:lblOffset val="100"/>
        <c:noMultiLvlLbl val="0"/>
      </c:catAx>
      <c:valAx>
        <c:axId val="574939231"/>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574941631"/>
        <c:crosses val="autoZero"/>
        <c:crossBetween val="between"/>
      </c:valAx>
      <c:spPr>
        <a:noFill/>
        <a:ln>
          <a:noFill/>
        </a:ln>
        <a:effectLst/>
      </c:spPr>
    </c:plotArea>
    <c:legend>
      <c:legendPos val="r"/>
      <c:layout>
        <c:manualLayout>
          <c:xMode val="edge"/>
          <c:yMode val="edge"/>
          <c:x val="0.25988006707494898"/>
          <c:y val="0.91558651030190474"/>
          <c:w val="0.58468299594038631"/>
          <c:h val="7.2179950889731517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legend>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kern="1200" cap="all" spc="0" baseline="0">
                <a:solidFill>
                  <a:schemeClr val="tx2"/>
                </a:solidFill>
              </a:rPr>
              <a:t>change over q4 2023 in Average length of stay by month and type of facility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ar-SA"/>
        </a:p>
      </c:txPr>
    </c:title>
    <c:autoTitleDeleted val="0"/>
    <c:plotArea>
      <c:layout>
        <c:manualLayout>
          <c:layoutTarget val="inner"/>
          <c:xMode val="edge"/>
          <c:yMode val="edge"/>
          <c:x val="2.5462962962962962E-2"/>
          <c:y val="0.22293650793650793"/>
          <c:w val="0.95138888888888884"/>
          <c:h val="0.57942957527722816"/>
        </c:manualLayout>
      </c:layout>
      <c:barChart>
        <c:barDir val="col"/>
        <c:grouping val="clustered"/>
        <c:varyColors val="0"/>
        <c:ser>
          <c:idx val="0"/>
          <c:order val="0"/>
          <c:tx>
            <c:strRef>
              <c:f>'3.10'!$A$5:$E$5</c:f>
              <c:strCache>
                <c:ptCount val="5"/>
                <c:pt idx="0">
                  <c:v>Hotels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'3.10'!$C$4:$E$4</c:f>
              <c:strCache>
                <c:ptCount val="3"/>
                <c:pt idx="0">
                  <c:v>October</c:v>
                </c:pt>
                <c:pt idx="1">
                  <c:v>November</c:v>
                </c:pt>
                <c:pt idx="2">
                  <c:v>December</c:v>
                </c:pt>
              </c:strCache>
            </c:strRef>
          </c:cat>
          <c:val>
            <c:numRef>
              <c:f>'3.10'!$C$8:$E$8</c:f>
              <c:numCache>
                <c:formatCode>0.0%</c:formatCode>
                <c:ptCount val="3"/>
                <c:pt idx="0">
                  <c:v>2.64673045545437E-2</c:v>
                </c:pt>
                <c:pt idx="1">
                  <c:v>1.2569463195712083E-2</c:v>
                </c:pt>
                <c:pt idx="2">
                  <c:v>-2.0651624585515949E-3</c:v>
                </c:pt>
              </c:numCache>
            </c:numRef>
          </c:val>
          <c:extLst>
            <c:ext xmlns:c16="http://schemas.microsoft.com/office/drawing/2014/chart" uri="{C3380CC4-5D6E-409C-BE32-E72D297353CC}">
              <c16:uniqueId val="{00000000-FCF9-478E-95B4-45B137D44160}"/>
            </c:ext>
          </c:extLst>
        </c:ser>
        <c:ser>
          <c:idx val="1"/>
          <c:order val="1"/>
          <c:tx>
            <c:strRef>
              <c:f>'3.10'!$A$9:$E$9</c:f>
              <c:strCache>
                <c:ptCount val="5"/>
                <c:pt idx="0">
                  <c:v>Serviced apartments and other hospitality facilities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'3.10'!$C$4:$E$4</c:f>
              <c:strCache>
                <c:ptCount val="3"/>
                <c:pt idx="0">
                  <c:v>October</c:v>
                </c:pt>
                <c:pt idx="1">
                  <c:v>November</c:v>
                </c:pt>
                <c:pt idx="2">
                  <c:v>December</c:v>
                </c:pt>
              </c:strCache>
            </c:strRef>
          </c:cat>
          <c:val>
            <c:numRef>
              <c:f>'3.10'!$C$12:$E$12</c:f>
              <c:numCache>
                <c:formatCode>0.0%</c:formatCode>
                <c:ptCount val="3"/>
                <c:pt idx="0">
                  <c:v>-0.18474389785767878</c:v>
                </c:pt>
                <c:pt idx="1">
                  <c:v>-8.3410143341864321E-2</c:v>
                </c:pt>
                <c:pt idx="2">
                  <c:v>-0.10567215140967695</c:v>
                </c:pt>
              </c:numCache>
            </c:numRef>
          </c:val>
          <c:extLst>
            <c:ext xmlns:c16="http://schemas.microsoft.com/office/drawing/2014/chart" uri="{C3380CC4-5D6E-409C-BE32-E72D297353CC}">
              <c16:uniqueId val="{00000001-FCF9-478E-95B4-45B137D44160}"/>
            </c:ext>
          </c:extLst>
        </c:ser>
        <c:dLbls>
          <c:dLblPos val="outEnd"/>
          <c:showLegendKey val="0"/>
          <c:showVal val="1"/>
          <c:showCatName val="0"/>
          <c:showSerName val="0"/>
          <c:showPercent val="0"/>
          <c:showBubbleSize val="0"/>
        </c:dLbls>
        <c:gapWidth val="219"/>
        <c:overlap val="-27"/>
        <c:axId val="692099791"/>
        <c:axId val="692097871"/>
      </c:barChart>
      <c:catAx>
        <c:axId val="692099791"/>
        <c:scaling>
          <c:orientation val="minMax"/>
        </c:scaling>
        <c:delete val="0"/>
        <c:axPos val="b"/>
        <c:numFmt formatCode="General" sourceLinked="1"/>
        <c:majorTickMark val="none"/>
        <c:minorTickMark val="none"/>
        <c:tickLblPos val="low"/>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crossAx val="692097871"/>
        <c:crosses val="autoZero"/>
        <c:auto val="1"/>
        <c:lblAlgn val="ctr"/>
        <c:lblOffset val="100"/>
        <c:noMultiLvlLbl val="0"/>
      </c:catAx>
      <c:valAx>
        <c:axId val="692097871"/>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692099791"/>
        <c:crosses val="autoZero"/>
        <c:crossBetween val="between"/>
      </c:valAx>
      <c:spPr>
        <a:noFill/>
        <a:ln>
          <a:noFill/>
        </a:ln>
        <a:effectLst/>
      </c:spPr>
    </c:plotArea>
    <c:legend>
      <c:legendPos val="r"/>
      <c:layout>
        <c:manualLayout>
          <c:xMode val="edge"/>
          <c:yMode val="edge"/>
          <c:x val="0.16452046600142509"/>
          <c:y val="0.90526006529923342"/>
          <c:w val="0.67696210119063838"/>
          <c:h val="6.510498687664040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Frutiger LT 55 Roman" panose="02000503040000020004" pitchFamily="2" charset="0"/>
              <a:ea typeface="+mn-ea"/>
              <a:cs typeface="+mn-cs"/>
            </a:defRPr>
          </a:pPr>
          <a:endParaRPr lang="ar-SA"/>
        </a:p>
      </c:txPr>
    </c:legend>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withinLinearReversed" id="25">
  <a:schemeClr val="accent5"/>
</cs:colorStyle>
</file>

<file path=xl/charts/colors17.xml><?xml version="1.0" encoding="utf-8"?>
<cs:colorStyle xmlns:cs="http://schemas.microsoft.com/office/drawing/2012/chartStyle" xmlns:a="http://schemas.openxmlformats.org/drawingml/2006/main" meth="withinLinearReversed" id="25">
  <a:schemeClr val="accent5"/>
</cs:colorStyle>
</file>

<file path=xl/charts/colors18.xml><?xml version="1.0" encoding="utf-8"?>
<cs:colorStyle xmlns:cs="http://schemas.microsoft.com/office/drawing/2012/chartStyle" xmlns:a="http://schemas.openxmlformats.org/drawingml/2006/main" meth="withinLinearReversed" id="22">
  <a:schemeClr val="accent2"/>
</cs:colorStyle>
</file>

<file path=xl/charts/colors19.xml><?xml version="1.0" encoding="utf-8"?>
<cs:colorStyle xmlns:cs="http://schemas.microsoft.com/office/drawing/2012/chartStyle" xmlns:a="http://schemas.openxmlformats.org/drawingml/2006/main" meth="withinLinearReversed" id="25">
  <a:schemeClr val="accent5"/>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withinLinearReversed" id="25">
  <a:schemeClr val="accent5"/>
</cs:colorStyle>
</file>

<file path=xl/charts/colors22.xml><?xml version="1.0" encoding="utf-8"?>
<cs:colorStyle xmlns:cs="http://schemas.microsoft.com/office/drawing/2012/chartStyle" xmlns:a="http://schemas.openxmlformats.org/drawingml/2006/main" meth="withinLinearReversed" id="25">
  <a:schemeClr val="accent5"/>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0.xml"/></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1.xml"/></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2.xml"/></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5.xml"/></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6.xml"/></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7.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9.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1.xml"/></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2.xml"/></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3.xml"/></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4.xml"/></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1774989</xdr:colOff>
      <xdr:row>0</xdr:row>
      <xdr:rowOff>471443</xdr:rowOff>
    </xdr:to>
    <xdr:pic>
      <xdr:nvPicPr>
        <xdr:cNvPr id="3" name="صورة 5">
          <a:extLst>
            <a:ext uri="{FF2B5EF4-FFF2-40B4-BE49-F238E27FC236}">
              <a16:creationId xmlns:a16="http://schemas.microsoft.com/office/drawing/2014/main" id="{6B4D7F8D-1236-4ECD-A6A9-63577EB1C170}"/>
            </a:ext>
          </a:extLst>
        </xdr:cNvPr>
        <xdr:cNvPicPr>
          <a:picLocks noChangeAspect="1"/>
        </xdr:cNvPicPr>
      </xdr:nvPicPr>
      <xdr:blipFill>
        <a:blip xmlns:r="http://schemas.openxmlformats.org/officeDocument/2006/relationships" r:embed="rId1"/>
        <a:stretch>
          <a:fillRect/>
        </a:stretch>
      </xdr:blipFill>
      <xdr:spPr>
        <a:xfrm>
          <a:off x="10931972511" y="0"/>
          <a:ext cx="1603539" cy="4714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1146339</xdr:colOff>
      <xdr:row>0</xdr:row>
      <xdr:rowOff>471443</xdr:rowOff>
    </xdr:to>
    <xdr:pic>
      <xdr:nvPicPr>
        <xdr:cNvPr id="3" name="صورة 5">
          <a:extLst>
            <a:ext uri="{FF2B5EF4-FFF2-40B4-BE49-F238E27FC236}">
              <a16:creationId xmlns:a16="http://schemas.microsoft.com/office/drawing/2014/main" id="{FACE8F86-6F8F-46E5-861E-B4191014F880}"/>
            </a:ext>
          </a:extLst>
        </xdr:cNvPr>
        <xdr:cNvPicPr>
          <a:picLocks noChangeAspect="1"/>
        </xdr:cNvPicPr>
      </xdr:nvPicPr>
      <xdr:blipFill>
        <a:blip xmlns:r="http://schemas.openxmlformats.org/officeDocument/2006/relationships" r:embed="rId1"/>
        <a:stretch>
          <a:fillRect/>
        </a:stretch>
      </xdr:blipFill>
      <xdr:spPr>
        <a:xfrm>
          <a:off x="10927337011" y="0"/>
          <a:ext cx="1603539" cy="4714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1216189</xdr:colOff>
      <xdr:row>0</xdr:row>
      <xdr:rowOff>467814</xdr:rowOff>
    </xdr:to>
    <xdr:pic>
      <xdr:nvPicPr>
        <xdr:cNvPr id="3" name="صورة 5">
          <a:extLst>
            <a:ext uri="{FF2B5EF4-FFF2-40B4-BE49-F238E27FC236}">
              <a16:creationId xmlns:a16="http://schemas.microsoft.com/office/drawing/2014/main" id="{E0FD325C-BA4D-4ED4-84D6-07C1FDD15444}"/>
            </a:ext>
          </a:extLst>
        </xdr:cNvPr>
        <xdr:cNvPicPr>
          <a:picLocks noChangeAspect="1"/>
        </xdr:cNvPicPr>
      </xdr:nvPicPr>
      <xdr:blipFill>
        <a:blip xmlns:r="http://schemas.openxmlformats.org/officeDocument/2006/relationships" r:embed="rId1"/>
        <a:stretch>
          <a:fillRect/>
        </a:stretch>
      </xdr:blipFill>
      <xdr:spPr>
        <a:xfrm>
          <a:off x="11006457104" y="0"/>
          <a:ext cx="1603539" cy="4714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1032039</xdr:colOff>
      <xdr:row>0</xdr:row>
      <xdr:rowOff>467814</xdr:rowOff>
    </xdr:to>
    <xdr:pic>
      <xdr:nvPicPr>
        <xdr:cNvPr id="3" name="صورة 5">
          <a:extLst>
            <a:ext uri="{FF2B5EF4-FFF2-40B4-BE49-F238E27FC236}">
              <a16:creationId xmlns:a16="http://schemas.microsoft.com/office/drawing/2014/main" id="{C74B91EB-08F0-4C9E-86BE-7551A3C9C831}"/>
            </a:ext>
          </a:extLst>
        </xdr:cNvPr>
        <xdr:cNvPicPr>
          <a:picLocks noChangeAspect="1"/>
        </xdr:cNvPicPr>
      </xdr:nvPicPr>
      <xdr:blipFill>
        <a:blip xmlns:r="http://schemas.openxmlformats.org/officeDocument/2006/relationships" r:embed="rId1"/>
        <a:stretch>
          <a:fillRect/>
        </a:stretch>
      </xdr:blipFill>
      <xdr:spPr>
        <a:xfrm>
          <a:off x="11002710604" y="0"/>
          <a:ext cx="1603539" cy="4714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274320</xdr:colOff>
      <xdr:row>10</xdr:row>
      <xdr:rowOff>3810</xdr:rowOff>
    </xdr:from>
    <xdr:to>
      <xdr:col>2</xdr:col>
      <xdr:colOff>1143000</xdr:colOff>
      <xdr:row>27</xdr:row>
      <xdr:rowOff>167640</xdr:rowOff>
    </xdr:to>
    <xdr:graphicFrame macro="">
      <xdr:nvGraphicFramePr>
        <xdr:cNvPr id="2" name="Chart 1">
          <a:extLst>
            <a:ext uri="{FF2B5EF4-FFF2-40B4-BE49-F238E27FC236}">
              <a16:creationId xmlns:a16="http://schemas.microsoft.com/office/drawing/2014/main" id="{FD303C23-F50F-7074-BBBF-1573DF78A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1032039</xdr:colOff>
      <xdr:row>0</xdr:row>
      <xdr:rowOff>467814</xdr:rowOff>
    </xdr:to>
    <xdr:pic>
      <xdr:nvPicPr>
        <xdr:cNvPr id="3" name="صورة 5">
          <a:extLst>
            <a:ext uri="{FF2B5EF4-FFF2-40B4-BE49-F238E27FC236}">
              <a16:creationId xmlns:a16="http://schemas.microsoft.com/office/drawing/2014/main" id="{AA3B452A-211D-4BFC-8885-FCC30CC9B29A}"/>
            </a:ext>
          </a:extLst>
        </xdr:cNvPr>
        <xdr:cNvPicPr>
          <a:picLocks noChangeAspect="1"/>
        </xdr:cNvPicPr>
      </xdr:nvPicPr>
      <xdr:blipFill>
        <a:blip xmlns:r="http://schemas.openxmlformats.org/officeDocument/2006/relationships" r:embed="rId1"/>
        <a:stretch>
          <a:fillRect/>
        </a:stretch>
      </xdr:blipFill>
      <xdr:spPr>
        <a:xfrm>
          <a:off x="11002719675" y="0"/>
          <a:ext cx="1603539" cy="4714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1108239</xdr:colOff>
      <xdr:row>0</xdr:row>
      <xdr:rowOff>467814</xdr:rowOff>
    </xdr:to>
    <xdr:pic>
      <xdr:nvPicPr>
        <xdr:cNvPr id="3" name="صورة 5">
          <a:extLst>
            <a:ext uri="{FF2B5EF4-FFF2-40B4-BE49-F238E27FC236}">
              <a16:creationId xmlns:a16="http://schemas.microsoft.com/office/drawing/2014/main" id="{BA754BAA-1AC1-4BC8-B061-9191DB267876}"/>
            </a:ext>
          </a:extLst>
        </xdr:cNvPr>
        <xdr:cNvPicPr>
          <a:picLocks noChangeAspect="1"/>
        </xdr:cNvPicPr>
      </xdr:nvPicPr>
      <xdr:blipFill>
        <a:blip xmlns:r="http://schemas.openxmlformats.org/officeDocument/2006/relationships" r:embed="rId1"/>
        <a:stretch>
          <a:fillRect/>
        </a:stretch>
      </xdr:blipFill>
      <xdr:spPr>
        <a:xfrm>
          <a:off x="11002184461" y="0"/>
          <a:ext cx="1603539" cy="4714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647701</xdr:colOff>
      <xdr:row>0</xdr:row>
      <xdr:rowOff>282575</xdr:rowOff>
    </xdr:from>
    <xdr:to>
      <xdr:col>15</xdr:col>
      <xdr:colOff>615951</xdr:colOff>
      <xdr:row>16</xdr:row>
      <xdr:rowOff>238125</xdr:rowOff>
    </xdr:to>
    <xdr:graphicFrame macro="">
      <xdr:nvGraphicFramePr>
        <xdr:cNvPr id="3" name="Chart 2">
          <a:extLst>
            <a:ext uri="{FF2B5EF4-FFF2-40B4-BE49-F238E27FC236}">
              <a16:creationId xmlns:a16="http://schemas.microsoft.com/office/drawing/2014/main" id="{87507409-4934-4A69-8B51-C7BBA336B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1197139</xdr:colOff>
      <xdr:row>0</xdr:row>
      <xdr:rowOff>468268</xdr:rowOff>
    </xdr:to>
    <xdr:pic>
      <xdr:nvPicPr>
        <xdr:cNvPr id="4" name="صورة 5">
          <a:extLst>
            <a:ext uri="{FF2B5EF4-FFF2-40B4-BE49-F238E27FC236}">
              <a16:creationId xmlns:a16="http://schemas.microsoft.com/office/drawing/2014/main" id="{EB923FC5-5201-4990-B416-C86DC6E457C9}"/>
            </a:ext>
          </a:extLst>
        </xdr:cNvPr>
        <xdr:cNvPicPr>
          <a:picLocks noChangeAspect="1"/>
        </xdr:cNvPicPr>
      </xdr:nvPicPr>
      <xdr:blipFill>
        <a:blip xmlns:r="http://schemas.openxmlformats.org/officeDocument/2006/relationships" r:embed="rId2"/>
        <a:stretch>
          <a:fillRect/>
        </a:stretch>
      </xdr:blipFill>
      <xdr:spPr>
        <a:xfrm>
          <a:off x="10932715461" y="0"/>
          <a:ext cx="1603539" cy="4714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543497</xdr:colOff>
      <xdr:row>0</xdr:row>
      <xdr:rowOff>353787</xdr:rowOff>
    </xdr:from>
    <xdr:to>
      <xdr:col>15</xdr:col>
      <xdr:colOff>454597</xdr:colOff>
      <xdr:row>17</xdr:row>
      <xdr:rowOff>39008</xdr:rowOff>
    </xdr:to>
    <xdr:graphicFrame macro="">
      <xdr:nvGraphicFramePr>
        <xdr:cNvPr id="3" name="Chart 2">
          <a:extLst>
            <a:ext uri="{FF2B5EF4-FFF2-40B4-BE49-F238E27FC236}">
              <a16:creationId xmlns:a16="http://schemas.microsoft.com/office/drawing/2014/main" id="{EF004577-73F3-4844-B4F7-BFCBF154B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1168564</xdr:colOff>
      <xdr:row>0</xdr:row>
      <xdr:rowOff>468268</xdr:rowOff>
    </xdr:to>
    <xdr:pic>
      <xdr:nvPicPr>
        <xdr:cNvPr id="4" name="صورة 5">
          <a:extLst>
            <a:ext uri="{FF2B5EF4-FFF2-40B4-BE49-F238E27FC236}">
              <a16:creationId xmlns:a16="http://schemas.microsoft.com/office/drawing/2014/main" id="{9F393571-0E4B-4B8E-932D-1DD514FC5F9A}"/>
            </a:ext>
          </a:extLst>
        </xdr:cNvPr>
        <xdr:cNvPicPr>
          <a:picLocks noChangeAspect="1"/>
        </xdr:cNvPicPr>
      </xdr:nvPicPr>
      <xdr:blipFill>
        <a:blip xmlns:r="http://schemas.openxmlformats.org/officeDocument/2006/relationships" r:embed="rId2"/>
        <a:stretch>
          <a:fillRect/>
        </a:stretch>
      </xdr:blipFill>
      <xdr:spPr>
        <a:xfrm>
          <a:off x="10932042361" y="0"/>
          <a:ext cx="1603539" cy="4714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664599</xdr:colOff>
      <xdr:row>0</xdr:row>
      <xdr:rowOff>298448</xdr:rowOff>
    </xdr:from>
    <xdr:to>
      <xdr:col>15</xdr:col>
      <xdr:colOff>632849</xdr:colOff>
      <xdr:row>16</xdr:row>
      <xdr:rowOff>133348</xdr:rowOff>
    </xdr:to>
    <xdr:graphicFrame macro="">
      <xdr:nvGraphicFramePr>
        <xdr:cNvPr id="3" name="Chart 2">
          <a:extLst>
            <a:ext uri="{FF2B5EF4-FFF2-40B4-BE49-F238E27FC236}">
              <a16:creationId xmlns:a16="http://schemas.microsoft.com/office/drawing/2014/main" id="{97A7BCE5-B98C-4059-956A-7194F6CDB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1139989</xdr:colOff>
      <xdr:row>0</xdr:row>
      <xdr:rowOff>468268</xdr:rowOff>
    </xdr:to>
    <xdr:pic>
      <xdr:nvPicPr>
        <xdr:cNvPr id="4" name="صورة 5">
          <a:extLst>
            <a:ext uri="{FF2B5EF4-FFF2-40B4-BE49-F238E27FC236}">
              <a16:creationId xmlns:a16="http://schemas.microsoft.com/office/drawing/2014/main" id="{00A2A221-C8C3-495B-98FD-CDAC003EA811}"/>
            </a:ext>
          </a:extLst>
        </xdr:cNvPr>
        <xdr:cNvPicPr>
          <a:picLocks noChangeAspect="1"/>
        </xdr:cNvPicPr>
      </xdr:nvPicPr>
      <xdr:blipFill>
        <a:blip xmlns:r="http://schemas.openxmlformats.org/officeDocument/2006/relationships" r:embed="rId2"/>
        <a:stretch>
          <a:fillRect/>
        </a:stretch>
      </xdr:blipFill>
      <xdr:spPr>
        <a:xfrm>
          <a:off x="10932893261" y="0"/>
          <a:ext cx="1603539" cy="47144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6</xdr:col>
      <xdr:colOff>514350</xdr:colOff>
      <xdr:row>0</xdr:row>
      <xdr:rowOff>301626</xdr:rowOff>
    </xdr:from>
    <xdr:to>
      <xdr:col>15</xdr:col>
      <xdr:colOff>450850</xdr:colOff>
      <xdr:row>17</xdr:row>
      <xdr:rowOff>9526</xdr:rowOff>
    </xdr:to>
    <xdr:graphicFrame macro="">
      <xdr:nvGraphicFramePr>
        <xdr:cNvPr id="3" name="Chart 2">
          <a:extLst>
            <a:ext uri="{FF2B5EF4-FFF2-40B4-BE49-F238E27FC236}">
              <a16:creationId xmlns:a16="http://schemas.microsoft.com/office/drawing/2014/main" id="{27368BCE-F8A6-4FC8-848D-90734F420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1109146</xdr:colOff>
      <xdr:row>0</xdr:row>
      <xdr:rowOff>467814</xdr:rowOff>
    </xdr:to>
    <xdr:pic>
      <xdr:nvPicPr>
        <xdr:cNvPr id="4" name="صورة 5">
          <a:extLst>
            <a:ext uri="{FF2B5EF4-FFF2-40B4-BE49-F238E27FC236}">
              <a16:creationId xmlns:a16="http://schemas.microsoft.com/office/drawing/2014/main" id="{88BFD2A6-273D-4516-BDAB-3A0ECA8DFEFA}"/>
            </a:ext>
          </a:extLst>
        </xdr:cNvPr>
        <xdr:cNvPicPr>
          <a:picLocks noChangeAspect="1"/>
        </xdr:cNvPicPr>
      </xdr:nvPicPr>
      <xdr:blipFill>
        <a:blip xmlns:r="http://schemas.openxmlformats.org/officeDocument/2006/relationships" r:embed="rId2"/>
        <a:stretch>
          <a:fillRect/>
        </a:stretch>
      </xdr:blipFill>
      <xdr:spPr>
        <a:xfrm>
          <a:off x="11004679104" y="0"/>
          <a:ext cx="1603539" cy="47144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298563</xdr:colOff>
      <xdr:row>0</xdr:row>
      <xdr:rowOff>434521</xdr:rowOff>
    </xdr:from>
    <xdr:to>
      <xdr:col>15</xdr:col>
      <xdr:colOff>216013</xdr:colOff>
      <xdr:row>17</xdr:row>
      <xdr:rowOff>170996</xdr:rowOff>
    </xdr:to>
    <xdr:graphicFrame macro="">
      <xdr:nvGraphicFramePr>
        <xdr:cNvPr id="3" name="Chart 2">
          <a:extLst>
            <a:ext uri="{FF2B5EF4-FFF2-40B4-BE49-F238E27FC236}">
              <a16:creationId xmlns:a16="http://schemas.microsoft.com/office/drawing/2014/main" id="{672765A2-8193-4A10-AC09-CAA93B5C3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1089189</xdr:colOff>
      <xdr:row>0</xdr:row>
      <xdr:rowOff>471443</xdr:rowOff>
    </xdr:to>
    <xdr:pic>
      <xdr:nvPicPr>
        <xdr:cNvPr id="4" name="صورة 5">
          <a:extLst>
            <a:ext uri="{FF2B5EF4-FFF2-40B4-BE49-F238E27FC236}">
              <a16:creationId xmlns:a16="http://schemas.microsoft.com/office/drawing/2014/main" id="{C12855C3-1508-4340-A368-635B933BD9D0}"/>
            </a:ext>
          </a:extLst>
        </xdr:cNvPr>
        <xdr:cNvPicPr>
          <a:picLocks noChangeAspect="1"/>
        </xdr:cNvPicPr>
      </xdr:nvPicPr>
      <xdr:blipFill>
        <a:blip xmlns:r="http://schemas.openxmlformats.org/officeDocument/2006/relationships" r:embed="rId2"/>
        <a:stretch>
          <a:fillRect/>
        </a:stretch>
      </xdr:blipFill>
      <xdr:spPr>
        <a:xfrm>
          <a:off x="10931051761" y="0"/>
          <a:ext cx="1603539" cy="47144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473414</xdr:colOff>
      <xdr:row>0</xdr:row>
      <xdr:rowOff>289606</xdr:rowOff>
    </xdr:from>
    <xdr:to>
      <xdr:col>15</xdr:col>
      <xdr:colOff>390864</xdr:colOff>
      <xdr:row>17</xdr:row>
      <xdr:rowOff>16556</xdr:rowOff>
    </xdr:to>
    <xdr:graphicFrame macro="">
      <xdr:nvGraphicFramePr>
        <xdr:cNvPr id="3" name="Chart 2">
          <a:extLst>
            <a:ext uri="{FF2B5EF4-FFF2-40B4-BE49-F238E27FC236}">
              <a16:creationId xmlns:a16="http://schemas.microsoft.com/office/drawing/2014/main" id="{0591DA64-7585-4CA9-89DD-3504EC023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1089189</xdr:colOff>
      <xdr:row>0</xdr:row>
      <xdr:rowOff>471443</xdr:rowOff>
    </xdr:to>
    <xdr:pic>
      <xdr:nvPicPr>
        <xdr:cNvPr id="4" name="صورة 5">
          <a:extLst>
            <a:ext uri="{FF2B5EF4-FFF2-40B4-BE49-F238E27FC236}">
              <a16:creationId xmlns:a16="http://schemas.microsoft.com/office/drawing/2014/main" id="{9A075AF8-29C0-4257-8FF5-F1B72E2AA674}"/>
            </a:ext>
          </a:extLst>
        </xdr:cNvPr>
        <xdr:cNvPicPr>
          <a:picLocks noChangeAspect="1"/>
        </xdr:cNvPicPr>
      </xdr:nvPicPr>
      <xdr:blipFill>
        <a:blip xmlns:r="http://schemas.openxmlformats.org/officeDocument/2006/relationships" r:embed="rId2"/>
        <a:stretch>
          <a:fillRect/>
        </a:stretch>
      </xdr:blipFill>
      <xdr:spPr>
        <a:xfrm>
          <a:off x="10931077161" y="0"/>
          <a:ext cx="1603539" cy="47144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5</xdr:col>
      <xdr:colOff>617990</xdr:colOff>
      <xdr:row>1</xdr:row>
      <xdr:rowOff>85272</xdr:rowOff>
    </xdr:from>
    <xdr:to>
      <xdr:col>9</xdr:col>
      <xdr:colOff>979940</xdr:colOff>
      <xdr:row>18</xdr:row>
      <xdr:rowOff>100694</xdr:rowOff>
    </xdr:to>
    <xdr:graphicFrame macro="">
      <xdr:nvGraphicFramePr>
        <xdr:cNvPr id="2" name="Chart 2">
          <a:extLst>
            <a:ext uri="{FF2B5EF4-FFF2-40B4-BE49-F238E27FC236}">
              <a16:creationId xmlns:a16="http://schemas.microsoft.com/office/drawing/2014/main" id="{953FAE9B-8ABF-40FD-9B92-ED80FE238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1019339</xdr:colOff>
      <xdr:row>0</xdr:row>
      <xdr:rowOff>467814</xdr:rowOff>
    </xdr:to>
    <xdr:pic>
      <xdr:nvPicPr>
        <xdr:cNvPr id="3" name="صورة 5">
          <a:extLst>
            <a:ext uri="{FF2B5EF4-FFF2-40B4-BE49-F238E27FC236}">
              <a16:creationId xmlns:a16="http://schemas.microsoft.com/office/drawing/2014/main" id="{66A854FD-7FCA-4A22-93BB-3579C8460DF5}"/>
            </a:ext>
          </a:extLst>
        </xdr:cNvPr>
        <xdr:cNvPicPr>
          <a:picLocks noChangeAspect="1"/>
        </xdr:cNvPicPr>
      </xdr:nvPicPr>
      <xdr:blipFill>
        <a:blip xmlns:r="http://schemas.openxmlformats.org/officeDocument/2006/relationships" r:embed="rId2"/>
        <a:stretch>
          <a:fillRect/>
        </a:stretch>
      </xdr:blipFill>
      <xdr:spPr>
        <a:xfrm>
          <a:off x="0" y="0"/>
          <a:ext cx="1597189" cy="46781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525461</xdr:colOff>
      <xdr:row>0</xdr:row>
      <xdr:rowOff>518885</xdr:rowOff>
    </xdr:from>
    <xdr:to>
      <xdr:col>9</xdr:col>
      <xdr:colOff>887411</xdr:colOff>
      <xdr:row>17</xdr:row>
      <xdr:rowOff>144235</xdr:rowOff>
    </xdr:to>
    <xdr:graphicFrame macro="">
      <xdr:nvGraphicFramePr>
        <xdr:cNvPr id="2" name="Chart 2">
          <a:extLst>
            <a:ext uri="{FF2B5EF4-FFF2-40B4-BE49-F238E27FC236}">
              <a16:creationId xmlns:a16="http://schemas.microsoft.com/office/drawing/2014/main" id="{DB8BC0CC-FB35-474F-ADC1-35B49F8A2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1019339</xdr:colOff>
      <xdr:row>0</xdr:row>
      <xdr:rowOff>467814</xdr:rowOff>
    </xdr:to>
    <xdr:pic>
      <xdr:nvPicPr>
        <xdr:cNvPr id="3" name="صورة 5">
          <a:extLst>
            <a:ext uri="{FF2B5EF4-FFF2-40B4-BE49-F238E27FC236}">
              <a16:creationId xmlns:a16="http://schemas.microsoft.com/office/drawing/2014/main" id="{90D6BBA5-B915-42E6-B661-046B70B048A7}"/>
            </a:ext>
          </a:extLst>
        </xdr:cNvPr>
        <xdr:cNvPicPr>
          <a:picLocks noChangeAspect="1"/>
        </xdr:cNvPicPr>
      </xdr:nvPicPr>
      <xdr:blipFill>
        <a:blip xmlns:r="http://schemas.openxmlformats.org/officeDocument/2006/relationships" r:embed="rId2"/>
        <a:stretch>
          <a:fillRect/>
        </a:stretch>
      </xdr:blipFill>
      <xdr:spPr>
        <a:xfrm>
          <a:off x="0" y="0"/>
          <a:ext cx="1597189" cy="46781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5</xdr:col>
      <xdr:colOff>741362</xdr:colOff>
      <xdr:row>0</xdr:row>
      <xdr:rowOff>165100</xdr:rowOff>
    </xdr:from>
    <xdr:to>
      <xdr:col>9</xdr:col>
      <xdr:colOff>1103312</xdr:colOff>
      <xdr:row>18</xdr:row>
      <xdr:rowOff>6350</xdr:rowOff>
    </xdr:to>
    <xdr:graphicFrame macro="">
      <xdr:nvGraphicFramePr>
        <xdr:cNvPr id="2" name="Chart 2">
          <a:extLst>
            <a:ext uri="{FF2B5EF4-FFF2-40B4-BE49-F238E27FC236}">
              <a16:creationId xmlns:a16="http://schemas.microsoft.com/office/drawing/2014/main" id="{AC3F6CA0-0283-46FE-9A0E-5859E1BCC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1019339</xdr:colOff>
      <xdr:row>0</xdr:row>
      <xdr:rowOff>467814</xdr:rowOff>
    </xdr:to>
    <xdr:pic>
      <xdr:nvPicPr>
        <xdr:cNvPr id="3" name="صورة 5">
          <a:extLst>
            <a:ext uri="{FF2B5EF4-FFF2-40B4-BE49-F238E27FC236}">
              <a16:creationId xmlns:a16="http://schemas.microsoft.com/office/drawing/2014/main" id="{9C46DF34-C76B-4A16-AFFD-C3BD963F2B2F}"/>
            </a:ext>
          </a:extLst>
        </xdr:cNvPr>
        <xdr:cNvPicPr>
          <a:picLocks noChangeAspect="1"/>
        </xdr:cNvPicPr>
      </xdr:nvPicPr>
      <xdr:blipFill>
        <a:blip xmlns:r="http://schemas.openxmlformats.org/officeDocument/2006/relationships" r:embed="rId2"/>
        <a:stretch>
          <a:fillRect/>
        </a:stretch>
      </xdr:blipFill>
      <xdr:spPr>
        <a:xfrm>
          <a:off x="0" y="0"/>
          <a:ext cx="1597189" cy="46781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5</xdr:col>
      <xdr:colOff>864391</xdr:colOff>
      <xdr:row>1</xdr:row>
      <xdr:rowOff>146050</xdr:rowOff>
    </xdr:from>
    <xdr:to>
      <xdr:col>9</xdr:col>
      <xdr:colOff>1118391</xdr:colOff>
      <xdr:row>18</xdr:row>
      <xdr:rowOff>152400</xdr:rowOff>
    </xdr:to>
    <xdr:graphicFrame macro="">
      <xdr:nvGraphicFramePr>
        <xdr:cNvPr id="2" name="Chart 2">
          <a:extLst>
            <a:ext uri="{FF2B5EF4-FFF2-40B4-BE49-F238E27FC236}">
              <a16:creationId xmlns:a16="http://schemas.microsoft.com/office/drawing/2014/main" id="{BECED89A-02CA-4545-A8BE-DFA937FF2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1019339</xdr:colOff>
      <xdr:row>0</xdr:row>
      <xdr:rowOff>467814</xdr:rowOff>
    </xdr:to>
    <xdr:pic>
      <xdr:nvPicPr>
        <xdr:cNvPr id="3" name="صورة 5">
          <a:extLst>
            <a:ext uri="{FF2B5EF4-FFF2-40B4-BE49-F238E27FC236}">
              <a16:creationId xmlns:a16="http://schemas.microsoft.com/office/drawing/2014/main" id="{B32C37FD-4866-4443-9C1F-707CAD92CDB4}"/>
            </a:ext>
          </a:extLst>
        </xdr:cNvPr>
        <xdr:cNvPicPr>
          <a:picLocks noChangeAspect="1"/>
        </xdr:cNvPicPr>
      </xdr:nvPicPr>
      <xdr:blipFill>
        <a:blip xmlns:r="http://schemas.openxmlformats.org/officeDocument/2006/relationships" r:embed="rId2"/>
        <a:stretch>
          <a:fillRect/>
        </a:stretch>
      </xdr:blipFill>
      <xdr:spPr>
        <a:xfrm>
          <a:off x="0" y="0"/>
          <a:ext cx="1597189" cy="46781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5</xdr:col>
      <xdr:colOff>739204</xdr:colOff>
      <xdr:row>1</xdr:row>
      <xdr:rowOff>41048</xdr:rowOff>
    </xdr:from>
    <xdr:to>
      <xdr:col>9</xdr:col>
      <xdr:colOff>993204</xdr:colOff>
      <xdr:row>18</xdr:row>
      <xdr:rowOff>47398</xdr:rowOff>
    </xdr:to>
    <xdr:graphicFrame macro="">
      <xdr:nvGraphicFramePr>
        <xdr:cNvPr id="2" name="Chart 2">
          <a:extLst>
            <a:ext uri="{FF2B5EF4-FFF2-40B4-BE49-F238E27FC236}">
              <a16:creationId xmlns:a16="http://schemas.microsoft.com/office/drawing/2014/main" id="{BF911FAA-25B8-4DCF-AC07-675E60927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1019339</xdr:colOff>
      <xdr:row>0</xdr:row>
      <xdr:rowOff>467814</xdr:rowOff>
    </xdr:to>
    <xdr:pic>
      <xdr:nvPicPr>
        <xdr:cNvPr id="3" name="صورة 5">
          <a:extLst>
            <a:ext uri="{FF2B5EF4-FFF2-40B4-BE49-F238E27FC236}">
              <a16:creationId xmlns:a16="http://schemas.microsoft.com/office/drawing/2014/main" id="{EB8299EE-9927-4FF8-9994-DBF87B669583}"/>
            </a:ext>
          </a:extLst>
        </xdr:cNvPr>
        <xdr:cNvPicPr>
          <a:picLocks noChangeAspect="1"/>
        </xdr:cNvPicPr>
      </xdr:nvPicPr>
      <xdr:blipFill>
        <a:blip xmlns:r="http://schemas.openxmlformats.org/officeDocument/2006/relationships" r:embed="rId2"/>
        <a:stretch>
          <a:fillRect/>
        </a:stretch>
      </xdr:blipFill>
      <xdr:spPr>
        <a:xfrm>
          <a:off x="0" y="0"/>
          <a:ext cx="1597189" cy="46781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844434</xdr:colOff>
      <xdr:row>1</xdr:row>
      <xdr:rowOff>198891</xdr:rowOff>
    </xdr:from>
    <xdr:to>
      <xdr:col>9</xdr:col>
      <xdr:colOff>1098434</xdr:colOff>
      <xdr:row>19</xdr:row>
      <xdr:rowOff>23812</xdr:rowOff>
    </xdr:to>
    <xdr:graphicFrame macro="">
      <xdr:nvGraphicFramePr>
        <xdr:cNvPr id="2" name="Chart 2">
          <a:extLst>
            <a:ext uri="{FF2B5EF4-FFF2-40B4-BE49-F238E27FC236}">
              <a16:creationId xmlns:a16="http://schemas.microsoft.com/office/drawing/2014/main" id="{6DB630E7-0789-4C09-A103-FCBF8AF66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1019339</xdr:colOff>
      <xdr:row>0</xdr:row>
      <xdr:rowOff>467814</xdr:rowOff>
    </xdr:to>
    <xdr:pic>
      <xdr:nvPicPr>
        <xdr:cNvPr id="3" name="صورة 5">
          <a:extLst>
            <a:ext uri="{FF2B5EF4-FFF2-40B4-BE49-F238E27FC236}">
              <a16:creationId xmlns:a16="http://schemas.microsoft.com/office/drawing/2014/main" id="{9435EC0A-7188-4229-B18D-588A88566598}"/>
            </a:ext>
          </a:extLst>
        </xdr:cNvPr>
        <xdr:cNvPicPr>
          <a:picLocks noChangeAspect="1"/>
        </xdr:cNvPicPr>
      </xdr:nvPicPr>
      <xdr:blipFill>
        <a:blip xmlns:r="http://schemas.openxmlformats.org/officeDocument/2006/relationships" r:embed="rId2"/>
        <a:stretch>
          <a:fillRect/>
        </a:stretch>
      </xdr:blipFill>
      <xdr:spPr>
        <a:xfrm>
          <a:off x="0" y="0"/>
          <a:ext cx="1597189" cy="46781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1555914</xdr:colOff>
      <xdr:row>0</xdr:row>
      <xdr:rowOff>464185</xdr:rowOff>
    </xdr:to>
    <xdr:pic>
      <xdr:nvPicPr>
        <xdr:cNvPr id="2" name="صورة 5">
          <a:extLst>
            <a:ext uri="{FF2B5EF4-FFF2-40B4-BE49-F238E27FC236}">
              <a16:creationId xmlns:a16="http://schemas.microsoft.com/office/drawing/2014/main" id="{D80D58F2-D616-4DA4-800F-09F60DF98D9F}"/>
            </a:ext>
          </a:extLst>
        </xdr:cNvPr>
        <xdr:cNvPicPr>
          <a:picLocks noChangeAspect="1"/>
        </xdr:cNvPicPr>
      </xdr:nvPicPr>
      <xdr:blipFill>
        <a:blip xmlns:r="http://schemas.openxmlformats.org/officeDocument/2006/relationships" r:embed="rId1"/>
        <a:stretch>
          <a:fillRect/>
        </a:stretch>
      </xdr:blipFill>
      <xdr:spPr>
        <a:xfrm>
          <a:off x="0" y="0"/>
          <a:ext cx="1555914" cy="464185"/>
        </a:xfrm>
        <a:prstGeom prst="rect">
          <a:avLst/>
        </a:prstGeom>
      </xdr:spPr>
    </xdr:pic>
    <xdr:clientData/>
  </xdr:twoCellAnchor>
  <xdr:twoCellAnchor>
    <xdr:from>
      <xdr:col>4</xdr:col>
      <xdr:colOff>334963</xdr:colOff>
      <xdr:row>0</xdr:row>
      <xdr:rowOff>139700</xdr:rowOff>
    </xdr:from>
    <xdr:to>
      <xdr:col>10</xdr:col>
      <xdr:colOff>1588</xdr:colOff>
      <xdr:row>10</xdr:row>
      <xdr:rowOff>73025</xdr:rowOff>
    </xdr:to>
    <xdr:graphicFrame macro="">
      <xdr:nvGraphicFramePr>
        <xdr:cNvPr id="3" name="Chart 2">
          <a:extLst>
            <a:ext uri="{FF2B5EF4-FFF2-40B4-BE49-F238E27FC236}">
              <a16:creationId xmlns:a16="http://schemas.microsoft.com/office/drawing/2014/main" id="{2FE1C3B1-BAE4-4A91-B082-53486DD46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653142</xdr:colOff>
      <xdr:row>0</xdr:row>
      <xdr:rowOff>315684</xdr:rowOff>
    </xdr:from>
    <xdr:to>
      <xdr:col>15</xdr:col>
      <xdr:colOff>567871</xdr:colOff>
      <xdr:row>16</xdr:row>
      <xdr:rowOff>31750</xdr:rowOff>
    </xdr:to>
    <xdr:graphicFrame macro="">
      <xdr:nvGraphicFramePr>
        <xdr:cNvPr id="4" name="Chart 3">
          <a:extLst>
            <a:ext uri="{FF2B5EF4-FFF2-40B4-BE49-F238E27FC236}">
              <a16:creationId xmlns:a16="http://schemas.microsoft.com/office/drawing/2014/main" id="{68A56D73-34D8-4E38-9FF4-20F81A5ED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1012989</xdr:colOff>
      <xdr:row>0</xdr:row>
      <xdr:rowOff>467814</xdr:rowOff>
    </xdr:to>
    <xdr:pic>
      <xdr:nvPicPr>
        <xdr:cNvPr id="3" name="صورة 5">
          <a:extLst>
            <a:ext uri="{FF2B5EF4-FFF2-40B4-BE49-F238E27FC236}">
              <a16:creationId xmlns:a16="http://schemas.microsoft.com/office/drawing/2014/main" id="{D81A9741-B66B-4739-8EA8-B10470D2FFA4}"/>
            </a:ext>
          </a:extLst>
        </xdr:cNvPr>
        <xdr:cNvPicPr>
          <a:picLocks noChangeAspect="1"/>
        </xdr:cNvPicPr>
      </xdr:nvPicPr>
      <xdr:blipFill>
        <a:blip xmlns:r="http://schemas.openxmlformats.org/officeDocument/2006/relationships" r:embed="rId2"/>
        <a:stretch>
          <a:fillRect/>
        </a:stretch>
      </xdr:blipFill>
      <xdr:spPr>
        <a:xfrm>
          <a:off x="11000615104" y="0"/>
          <a:ext cx="1603539" cy="47144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7</xdr:col>
      <xdr:colOff>6350</xdr:colOff>
      <xdr:row>0</xdr:row>
      <xdr:rowOff>445407</xdr:rowOff>
    </xdr:from>
    <xdr:to>
      <xdr:col>15</xdr:col>
      <xdr:colOff>575129</xdr:colOff>
      <xdr:row>16</xdr:row>
      <xdr:rowOff>137886</xdr:rowOff>
    </xdr:to>
    <xdr:graphicFrame macro="">
      <xdr:nvGraphicFramePr>
        <xdr:cNvPr id="3" name="Chart 2">
          <a:extLst>
            <a:ext uri="{FF2B5EF4-FFF2-40B4-BE49-F238E27FC236}">
              <a16:creationId xmlns:a16="http://schemas.microsoft.com/office/drawing/2014/main" id="{71D4B48C-9C6D-47A8-B6CA-E985224F4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1032039</xdr:colOff>
      <xdr:row>0</xdr:row>
      <xdr:rowOff>467814</xdr:rowOff>
    </xdr:to>
    <xdr:pic>
      <xdr:nvPicPr>
        <xdr:cNvPr id="4" name="صورة 5">
          <a:extLst>
            <a:ext uri="{FF2B5EF4-FFF2-40B4-BE49-F238E27FC236}">
              <a16:creationId xmlns:a16="http://schemas.microsoft.com/office/drawing/2014/main" id="{78406FD0-338C-4AF4-8222-797508F9EE6E}"/>
            </a:ext>
          </a:extLst>
        </xdr:cNvPr>
        <xdr:cNvPicPr>
          <a:picLocks noChangeAspect="1"/>
        </xdr:cNvPicPr>
      </xdr:nvPicPr>
      <xdr:blipFill>
        <a:blip xmlns:r="http://schemas.openxmlformats.org/officeDocument/2006/relationships" r:embed="rId2"/>
        <a:stretch>
          <a:fillRect/>
        </a:stretch>
      </xdr:blipFill>
      <xdr:spPr>
        <a:xfrm>
          <a:off x="11000633247" y="0"/>
          <a:ext cx="1603539" cy="471443"/>
        </a:xfrm>
        <a:prstGeom prst="rect">
          <a:avLst/>
        </a:prstGeom>
      </xdr:spPr>
    </xdr:pic>
    <xdr:clientData/>
  </xdr:twoCellAnchor>
  <xdr:twoCellAnchor editAs="oneCell">
    <xdr:from>
      <xdr:col>0</xdr:col>
      <xdr:colOff>0</xdr:colOff>
      <xdr:row>0</xdr:row>
      <xdr:rowOff>0</xdr:rowOff>
    </xdr:from>
    <xdr:to>
      <xdr:col>1</xdr:col>
      <xdr:colOff>1032039</xdr:colOff>
      <xdr:row>0</xdr:row>
      <xdr:rowOff>471443</xdr:rowOff>
    </xdr:to>
    <xdr:pic>
      <xdr:nvPicPr>
        <xdr:cNvPr id="5" name="صورة 5">
          <a:extLst>
            <a:ext uri="{FF2B5EF4-FFF2-40B4-BE49-F238E27FC236}">
              <a16:creationId xmlns:a16="http://schemas.microsoft.com/office/drawing/2014/main" id="{4F72952E-4FDE-4468-8042-4E601542C4EC}"/>
            </a:ext>
          </a:extLst>
        </xdr:cNvPr>
        <xdr:cNvPicPr>
          <a:picLocks noChangeAspect="1"/>
        </xdr:cNvPicPr>
      </xdr:nvPicPr>
      <xdr:blipFill>
        <a:blip xmlns:r="http://schemas.openxmlformats.org/officeDocument/2006/relationships" r:embed="rId2"/>
        <a:stretch>
          <a:fillRect/>
        </a:stretch>
      </xdr:blipFill>
      <xdr:spPr>
        <a:xfrm>
          <a:off x="10999029708" y="0"/>
          <a:ext cx="1603539" cy="47144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573088</xdr:colOff>
      <xdr:row>0</xdr:row>
      <xdr:rowOff>293007</xdr:rowOff>
    </xdr:from>
    <xdr:to>
      <xdr:col>15</xdr:col>
      <xdr:colOff>506866</xdr:colOff>
      <xdr:row>15</xdr:row>
      <xdr:rowOff>201385</xdr:rowOff>
    </xdr:to>
    <xdr:graphicFrame macro="">
      <xdr:nvGraphicFramePr>
        <xdr:cNvPr id="4" name="Chart 3">
          <a:extLst>
            <a:ext uri="{FF2B5EF4-FFF2-40B4-BE49-F238E27FC236}">
              <a16:creationId xmlns:a16="http://schemas.microsoft.com/office/drawing/2014/main" id="{9B93976E-4141-41C5-BF6B-84C1554C3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987589</xdr:colOff>
      <xdr:row>0</xdr:row>
      <xdr:rowOff>467814</xdr:rowOff>
    </xdr:to>
    <xdr:pic>
      <xdr:nvPicPr>
        <xdr:cNvPr id="3" name="صورة 5">
          <a:extLst>
            <a:ext uri="{FF2B5EF4-FFF2-40B4-BE49-F238E27FC236}">
              <a16:creationId xmlns:a16="http://schemas.microsoft.com/office/drawing/2014/main" id="{7909041E-2CDA-4C4A-BFB4-3AF2E6B4D0E4}"/>
            </a:ext>
          </a:extLst>
        </xdr:cNvPr>
        <xdr:cNvPicPr>
          <a:picLocks noChangeAspect="1"/>
        </xdr:cNvPicPr>
      </xdr:nvPicPr>
      <xdr:blipFill>
        <a:blip xmlns:r="http://schemas.openxmlformats.org/officeDocument/2006/relationships" r:embed="rId2"/>
        <a:stretch>
          <a:fillRect/>
        </a:stretch>
      </xdr:blipFill>
      <xdr:spPr>
        <a:xfrm>
          <a:off x="10926606761" y="0"/>
          <a:ext cx="1603539" cy="46781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670560</xdr:colOff>
      <xdr:row>16</xdr:row>
      <xdr:rowOff>72390</xdr:rowOff>
    </xdr:from>
    <xdr:to>
      <xdr:col>4</xdr:col>
      <xdr:colOff>960120</xdr:colOff>
      <xdr:row>36</xdr:row>
      <xdr:rowOff>45720</xdr:rowOff>
    </xdr:to>
    <xdr:graphicFrame macro="">
      <xdr:nvGraphicFramePr>
        <xdr:cNvPr id="2" name="Chart 1">
          <a:extLst>
            <a:ext uri="{FF2B5EF4-FFF2-40B4-BE49-F238E27FC236}">
              <a16:creationId xmlns:a16="http://schemas.microsoft.com/office/drawing/2014/main" id="{6D17048E-EDCB-50A9-F5A9-EA6AD99D9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6</xdr:col>
      <xdr:colOff>611415</xdr:colOff>
      <xdr:row>0</xdr:row>
      <xdr:rowOff>329513</xdr:rowOff>
    </xdr:from>
    <xdr:to>
      <xdr:col>15</xdr:col>
      <xdr:colOff>513444</xdr:colOff>
      <xdr:row>16</xdr:row>
      <xdr:rowOff>12013</xdr:rowOff>
    </xdr:to>
    <xdr:graphicFrame macro="">
      <xdr:nvGraphicFramePr>
        <xdr:cNvPr id="3" name="Chart 2">
          <a:extLst>
            <a:ext uri="{FF2B5EF4-FFF2-40B4-BE49-F238E27FC236}">
              <a16:creationId xmlns:a16="http://schemas.microsoft.com/office/drawing/2014/main" id="{40D85501-B6B1-4E1F-835B-2FADA0818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1222539</xdr:colOff>
      <xdr:row>0</xdr:row>
      <xdr:rowOff>464185</xdr:rowOff>
    </xdr:to>
    <xdr:pic>
      <xdr:nvPicPr>
        <xdr:cNvPr id="4" name="صورة 5">
          <a:extLst>
            <a:ext uri="{FF2B5EF4-FFF2-40B4-BE49-F238E27FC236}">
              <a16:creationId xmlns:a16="http://schemas.microsoft.com/office/drawing/2014/main" id="{788967D7-4DB6-4B2F-A4DA-4F6286257731}"/>
            </a:ext>
          </a:extLst>
        </xdr:cNvPr>
        <xdr:cNvPicPr>
          <a:picLocks noChangeAspect="1"/>
        </xdr:cNvPicPr>
      </xdr:nvPicPr>
      <xdr:blipFill>
        <a:blip xmlns:r="http://schemas.openxmlformats.org/officeDocument/2006/relationships" r:embed="rId2"/>
        <a:stretch>
          <a:fillRect/>
        </a:stretch>
      </xdr:blipFill>
      <xdr:spPr>
        <a:xfrm>
          <a:off x="11001340818" y="0"/>
          <a:ext cx="1603539" cy="46781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95793</xdr:colOff>
      <xdr:row>14</xdr:row>
      <xdr:rowOff>180974</xdr:rowOff>
    </xdr:from>
    <xdr:to>
      <xdr:col>4</xdr:col>
      <xdr:colOff>435429</xdr:colOff>
      <xdr:row>32</xdr:row>
      <xdr:rowOff>34017</xdr:rowOff>
    </xdr:to>
    <xdr:graphicFrame macro="">
      <xdr:nvGraphicFramePr>
        <xdr:cNvPr id="2" name="Chart 1">
          <a:extLst>
            <a:ext uri="{FF2B5EF4-FFF2-40B4-BE49-F238E27FC236}">
              <a16:creationId xmlns:a16="http://schemas.microsoft.com/office/drawing/2014/main" id="{1D39A747-FF29-5884-C1F5-E4A3F90E2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7</xdr:col>
      <xdr:colOff>212501</xdr:colOff>
      <xdr:row>0</xdr:row>
      <xdr:rowOff>502784</xdr:rowOff>
    </xdr:from>
    <xdr:to>
      <xdr:col>16</xdr:col>
      <xdr:colOff>146280</xdr:colOff>
      <xdr:row>16</xdr:row>
      <xdr:rowOff>192541</xdr:rowOff>
    </xdr:to>
    <xdr:graphicFrame macro="">
      <xdr:nvGraphicFramePr>
        <xdr:cNvPr id="4" name="Chart 3">
          <a:extLst>
            <a:ext uri="{FF2B5EF4-FFF2-40B4-BE49-F238E27FC236}">
              <a16:creationId xmlns:a16="http://schemas.microsoft.com/office/drawing/2014/main" id="{B2E232BA-949F-4CCC-9619-D14450699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1006639</xdr:colOff>
      <xdr:row>0</xdr:row>
      <xdr:rowOff>464185</xdr:rowOff>
    </xdr:to>
    <xdr:pic>
      <xdr:nvPicPr>
        <xdr:cNvPr id="3" name="صورة 5">
          <a:extLst>
            <a:ext uri="{FF2B5EF4-FFF2-40B4-BE49-F238E27FC236}">
              <a16:creationId xmlns:a16="http://schemas.microsoft.com/office/drawing/2014/main" id="{85492153-02F7-4864-935D-37733B4943A2}"/>
            </a:ext>
          </a:extLst>
        </xdr:cNvPr>
        <xdr:cNvPicPr>
          <a:picLocks noChangeAspect="1"/>
        </xdr:cNvPicPr>
      </xdr:nvPicPr>
      <xdr:blipFill>
        <a:blip xmlns:r="http://schemas.openxmlformats.org/officeDocument/2006/relationships" r:embed="rId2"/>
        <a:stretch>
          <a:fillRect/>
        </a:stretch>
      </xdr:blipFill>
      <xdr:spPr>
        <a:xfrm>
          <a:off x="11001250104" y="0"/>
          <a:ext cx="1603539" cy="46781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7</xdr:col>
      <xdr:colOff>305481</xdr:colOff>
      <xdr:row>0</xdr:row>
      <xdr:rowOff>475569</xdr:rowOff>
    </xdr:from>
    <xdr:to>
      <xdr:col>16</xdr:col>
      <xdr:colOff>207510</xdr:colOff>
      <xdr:row>16</xdr:row>
      <xdr:rowOff>180747</xdr:rowOff>
    </xdr:to>
    <xdr:graphicFrame macro="">
      <xdr:nvGraphicFramePr>
        <xdr:cNvPr id="3" name="Chart 2">
          <a:extLst>
            <a:ext uri="{FF2B5EF4-FFF2-40B4-BE49-F238E27FC236}">
              <a16:creationId xmlns:a16="http://schemas.microsoft.com/office/drawing/2014/main" id="{C167EA5F-EB2D-49CF-91AB-9E662AC87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1032039</xdr:colOff>
      <xdr:row>0</xdr:row>
      <xdr:rowOff>464185</xdr:rowOff>
    </xdr:to>
    <xdr:pic>
      <xdr:nvPicPr>
        <xdr:cNvPr id="4" name="صورة 5">
          <a:extLst>
            <a:ext uri="{FF2B5EF4-FFF2-40B4-BE49-F238E27FC236}">
              <a16:creationId xmlns:a16="http://schemas.microsoft.com/office/drawing/2014/main" id="{C0DA2F40-604E-4A46-AC1C-41CC48F071A6}"/>
            </a:ext>
          </a:extLst>
        </xdr:cNvPr>
        <xdr:cNvPicPr>
          <a:picLocks noChangeAspect="1"/>
        </xdr:cNvPicPr>
      </xdr:nvPicPr>
      <xdr:blipFill>
        <a:blip xmlns:r="http://schemas.openxmlformats.org/officeDocument/2006/relationships" r:embed="rId2"/>
        <a:stretch>
          <a:fillRect/>
        </a:stretch>
      </xdr:blipFill>
      <xdr:spPr>
        <a:xfrm>
          <a:off x="11001114032" y="0"/>
          <a:ext cx="1603539" cy="46781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5</xdr:col>
      <xdr:colOff>329291</xdr:colOff>
      <xdr:row>0</xdr:row>
      <xdr:rowOff>451981</xdr:rowOff>
    </xdr:from>
    <xdr:to>
      <xdr:col>11</xdr:col>
      <xdr:colOff>489855</xdr:colOff>
      <xdr:row>12</xdr:row>
      <xdr:rowOff>1815</xdr:rowOff>
    </xdr:to>
    <xdr:graphicFrame macro="">
      <xdr:nvGraphicFramePr>
        <xdr:cNvPr id="2" name="Chart 2">
          <a:extLst>
            <a:ext uri="{FF2B5EF4-FFF2-40B4-BE49-F238E27FC236}">
              <a16:creationId xmlns:a16="http://schemas.microsoft.com/office/drawing/2014/main" id="{C8F1EE31-F66E-4A26-BABC-E0C08CEB8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31750</xdr:colOff>
      <xdr:row>0</xdr:row>
      <xdr:rowOff>0</xdr:rowOff>
    </xdr:from>
    <xdr:to>
      <xdr:col>1</xdr:col>
      <xdr:colOff>1051089</xdr:colOff>
      <xdr:row>0</xdr:row>
      <xdr:rowOff>467814</xdr:rowOff>
    </xdr:to>
    <xdr:pic>
      <xdr:nvPicPr>
        <xdr:cNvPr id="3" name="صورة 5">
          <a:extLst>
            <a:ext uri="{FF2B5EF4-FFF2-40B4-BE49-F238E27FC236}">
              <a16:creationId xmlns:a16="http://schemas.microsoft.com/office/drawing/2014/main" id="{60D5207B-FF28-4B6C-8C48-E0AE4987AE99}"/>
            </a:ext>
          </a:extLst>
        </xdr:cNvPr>
        <xdr:cNvPicPr>
          <a:picLocks noChangeAspect="1"/>
        </xdr:cNvPicPr>
      </xdr:nvPicPr>
      <xdr:blipFill>
        <a:blip xmlns:r="http://schemas.openxmlformats.org/officeDocument/2006/relationships" r:embed="rId2"/>
        <a:stretch>
          <a:fillRect/>
        </a:stretch>
      </xdr:blipFill>
      <xdr:spPr>
        <a:xfrm>
          <a:off x="31750" y="0"/>
          <a:ext cx="1597189" cy="46781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5</xdr:col>
      <xdr:colOff>371473</xdr:colOff>
      <xdr:row>1</xdr:row>
      <xdr:rowOff>32883</xdr:rowOff>
    </xdr:from>
    <xdr:to>
      <xdr:col>11</xdr:col>
      <xdr:colOff>542923</xdr:colOff>
      <xdr:row>13</xdr:row>
      <xdr:rowOff>72572</xdr:rowOff>
    </xdr:to>
    <xdr:graphicFrame macro="">
      <xdr:nvGraphicFramePr>
        <xdr:cNvPr id="2" name="Chart 2">
          <a:extLst>
            <a:ext uri="{FF2B5EF4-FFF2-40B4-BE49-F238E27FC236}">
              <a16:creationId xmlns:a16="http://schemas.microsoft.com/office/drawing/2014/main" id="{3372311E-21E8-47F3-9CAF-FF65B5723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1019339</xdr:colOff>
      <xdr:row>0</xdr:row>
      <xdr:rowOff>467814</xdr:rowOff>
    </xdr:to>
    <xdr:pic>
      <xdr:nvPicPr>
        <xdr:cNvPr id="3" name="صورة 5">
          <a:extLst>
            <a:ext uri="{FF2B5EF4-FFF2-40B4-BE49-F238E27FC236}">
              <a16:creationId xmlns:a16="http://schemas.microsoft.com/office/drawing/2014/main" id="{0F10A139-8848-4AED-8D36-465EEA945962}"/>
            </a:ext>
          </a:extLst>
        </xdr:cNvPr>
        <xdr:cNvPicPr>
          <a:picLocks noChangeAspect="1"/>
        </xdr:cNvPicPr>
      </xdr:nvPicPr>
      <xdr:blipFill>
        <a:blip xmlns:r="http://schemas.openxmlformats.org/officeDocument/2006/relationships" r:embed="rId2"/>
        <a:stretch>
          <a:fillRect/>
        </a:stretch>
      </xdr:blipFill>
      <xdr:spPr>
        <a:xfrm>
          <a:off x="0" y="0"/>
          <a:ext cx="1597189" cy="46781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5</xdr:col>
      <xdr:colOff>470580</xdr:colOff>
      <xdr:row>0</xdr:row>
      <xdr:rowOff>307748</xdr:rowOff>
    </xdr:from>
    <xdr:to>
      <xdr:col>11</xdr:col>
      <xdr:colOff>631144</xdr:colOff>
      <xdr:row>13</xdr:row>
      <xdr:rowOff>22906</xdr:rowOff>
    </xdr:to>
    <xdr:graphicFrame macro="">
      <xdr:nvGraphicFramePr>
        <xdr:cNvPr id="2" name="Chart 2">
          <a:extLst>
            <a:ext uri="{FF2B5EF4-FFF2-40B4-BE49-F238E27FC236}">
              <a16:creationId xmlns:a16="http://schemas.microsoft.com/office/drawing/2014/main" id="{566253CF-FFF6-4842-BD69-8AEF6F3BA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1019339</xdr:colOff>
      <xdr:row>0</xdr:row>
      <xdr:rowOff>467814</xdr:rowOff>
    </xdr:to>
    <xdr:pic>
      <xdr:nvPicPr>
        <xdr:cNvPr id="3" name="صورة 5">
          <a:extLst>
            <a:ext uri="{FF2B5EF4-FFF2-40B4-BE49-F238E27FC236}">
              <a16:creationId xmlns:a16="http://schemas.microsoft.com/office/drawing/2014/main" id="{D63AEA90-EB1E-4D00-88E2-9D7F04658D9D}"/>
            </a:ext>
          </a:extLst>
        </xdr:cNvPr>
        <xdr:cNvPicPr>
          <a:picLocks noChangeAspect="1"/>
        </xdr:cNvPicPr>
      </xdr:nvPicPr>
      <xdr:blipFill>
        <a:blip xmlns:r="http://schemas.openxmlformats.org/officeDocument/2006/relationships" r:embed="rId2"/>
        <a:stretch>
          <a:fillRect/>
        </a:stretch>
      </xdr:blipFill>
      <xdr:spPr>
        <a:xfrm>
          <a:off x="0" y="0"/>
          <a:ext cx="1597189" cy="46781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15F0B1-BA68-49E5-93E2-DDC37AB09B09}" name="Table1" displayName="Table1" ref="A4:B34" totalsRowShown="0" headerRowDxfId="36">
  <tableColumns count="2">
    <tableColumn id="2" xr3:uid="{57E4411F-94BC-4E55-9389-331A3A42AAD2}" name="Table" dataDxfId="35" dataCellStyle="ارتباط تشعبي 2"/>
    <tableColumn id="3" xr3:uid="{67804AB3-08AB-4494-A366-534E79ECF169}" name="Table Number" dataDxfId="34" dataCellStyle="ارتباط تشعبي 2"/>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9476F3-D7D3-41CF-8D1B-33CBE5B28953}" name="Table3" displayName="Table3" ref="A1:D9" totalsRowShown="0" headerRowDxfId="33" dataDxfId="32">
  <autoFilter ref="A1:D9" xr:uid="{7C9476F3-D7D3-41CF-8D1B-33CBE5B28953}"/>
  <tableColumns count="4">
    <tableColumn id="1" xr3:uid="{BC54EA15-9FA0-49EE-A27E-EFD40FBDE1E7}" name="Saudization%" dataDxfId="31">
      <calculatedColumnFormula>B2/C2</calculatedColumnFormula>
    </tableColumn>
    <tableColumn id="2" xr3:uid="{41ABA2F8-2712-4777-A7A2-E19BFA51C5A1}" name=" Saudi employees" dataDxfId="30" dataCellStyle="Comma 2 7 2 2"/>
    <tableColumn id="3" xr3:uid="{F5D1D778-F3FA-497B-834C-4A117FE742A8}" name="Total number of employees" dataDxfId="29" dataCellStyle="Comma 2 7 2 2"/>
    <tableColumn id="4" xr3:uid="{9180A74C-1B65-48FD-99C5-15D31FD65B09}" name="Quarter" dataDxfId="28" dataCellStyle="عادي 2 3 2 2"/>
  </tableColumns>
  <tableStyleInfo name="TableStyleDark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CE7280-FEB4-4114-9612-8F0106A1092C}" name="Table5" displayName="Table5" ref="A1:C9" totalsRowShown="0">
  <autoFilter ref="A1:C9" xr:uid="{60CE7280-FEB4-4114-9612-8F0106A1092C}"/>
  <tableColumns count="3">
    <tableColumn id="1" xr3:uid="{30578D2D-EF17-43A9-9A24-D8A151F6CC4D}" name="  Apartments Occupancy " dataDxfId="27" dataCellStyle="Percent"/>
    <tableColumn id="2" xr3:uid="{54464630-EB13-4AE4-9348-9E645F2861D9}" name="  Hotels Occupancy" dataDxfId="26" dataCellStyle="Percent"/>
    <tableColumn id="3" xr3:uid="{780A39D3-29F3-443B-B127-0BE123BFB8F3}" name="Quarter" dataDxfId="25" dataCellStyle="عادي 2 3 2 2"/>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5001AB1-243D-43F9-8ED2-2C33E29168E6}" name="Table18" displayName="Table18" ref="A1:D13" totalsRowShown="0" headerRowDxfId="24" dataDxfId="23">
  <autoFilter ref="A1:D13" xr:uid="{45001AB1-243D-43F9-8ED2-2C33E29168E6}"/>
  <tableColumns count="4">
    <tableColumn id="1" xr3:uid="{7FB2FEAD-BC86-4CFF-A124-5B8C1AF4A60C}" name="Tourism Activity" dataDxfId="22"/>
    <tableColumn id="2" xr3:uid="{2A8729AE-6831-41CF-B85F-1962B50EF312}" name="Saudi Employees" dataDxfId="21"/>
    <tableColumn id="3" xr3:uid="{63728641-EAE3-46F4-B0F9-BE9B239AABA3}" name="Total Employees" dataDxfId="20"/>
    <tableColumn id="4" xr3:uid="{5A588807-1FA7-4D8F-BAB9-65751F2A9DCF}" name="Saudization %" dataDxfId="19">
      <calculatedColumnFormula>B2/C2</calculatedColumnFormula>
    </tableColumn>
  </tableColumns>
  <tableStyleInfo name="TableStyleDark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3FEE5A-7ECD-4475-ABF1-E65F1B8A35FD}" name="Table4" displayName="Table4" ref="A1:E6" totalsRowShown="0" headerRowDxfId="18" headerRowCellStyle="عادي 2 3 2 2">
  <autoFilter ref="A1:E6" xr:uid="{543FEE5A-7ECD-4475-ABF1-E65F1B8A35FD}"/>
  <sortState xmlns:xlrd2="http://schemas.microsoft.com/office/spreadsheetml/2017/richdata2" ref="A2:E6">
    <sortCondition ref="A1:A6"/>
  </sortState>
  <tableColumns count="5">
    <tableColumn id="1" xr3:uid="{38DB54A7-E5DD-46B1-9F02-B70BA6599652}" name="The quarter" dataDxfId="17" dataCellStyle="Comma 2 7 2 2"/>
    <tableColumn id="2" xr3:uid="{7149C22A-B7F1-421B-A5F6-192673693FE1}" name="Hotels" dataDxfId="16" dataCellStyle="Comma"/>
    <tableColumn id="3" xr3:uid="{F7E343F8-A338-4B37-9D3F-D239354D9942}" name="Serviced apartments and other hospitality facilities" dataDxfId="15" dataCellStyle="Comma"/>
    <tableColumn id="4" xr3:uid="{4AF997FE-21C8-4421-8629-0831F05A0BD0}" name="Total" dataDxfId="14" dataCellStyle="Comma"/>
    <tableColumn id="5" xr3:uid="{DF4C8144-29D1-4487-8AAB-A3EB2563BCDE}" name="GROWTH%"/>
  </tableColumns>
  <tableStyleInfo name="TableStyleDark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F54DFF9-2A32-4C7E-93A4-FEB53BE876F1}" name="Table17" displayName="Table17" ref="A1:E15" totalsRowShown="0" headerRowDxfId="13" dataDxfId="12">
  <autoFilter ref="A1:E15" xr:uid="{3F54DFF9-2A32-4C7E-93A4-FEB53BE876F1}"/>
  <tableColumns count="5">
    <tableColumn id="1" xr3:uid="{D8E4BDFD-BCC6-4BD2-AF13-75D0FAA60B8A}" name="Administrative Regions" dataDxfId="11"/>
    <tableColumn id="2" xr3:uid="{E8999D03-699F-4F9A-AC3F-A668F6DC9000}" name="October" dataDxfId="10"/>
    <tableColumn id="3" xr3:uid="{722920E1-9810-4997-ACA4-E52436FDC2DB}" name="November" dataDxfId="9"/>
    <tableColumn id="4" xr3:uid="{06761B9D-D37E-49DD-9218-4B9BA2A07E38}" name="December" dataDxfId="8"/>
    <tableColumn id="5" xr3:uid="{ADDFEF47-62FE-405B-B4AB-A3A70247CF02}" name=" Average Price" dataDxfId="7"/>
  </tableColumns>
  <tableStyleInfo name="TableStyleDark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DE701B8-8C40-4D8A-AF3D-7281F390350B}" name="Table16" displayName="Table16" ref="A1:E14" totalsRowShown="0" headerRowDxfId="6" dataDxfId="5">
  <autoFilter ref="A1:E14" xr:uid="{ADE701B8-8C40-4D8A-AF3D-7281F390350B}"/>
  <tableColumns count="5">
    <tableColumn id="1" xr3:uid="{1E4F30A5-4153-408C-90A8-504633890E5D}" name="  Hotel Region" dataDxfId="4"/>
    <tableColumn id="2" xr3:uid="{92B2757C-DE09-4ED7-95B9-88C0305CA568}" name="October" dataDxfId="3"/>
    <tableColumn id="3" xr3:uid="{669779D4-577D-40A4-BE99-D588549254EA}" name="November" dataDxfId="2"/>
    <tableColumn id="4" xr3:uid="{2091261A-4C78-442F-9351-263909AB4819}" name="December" dataDxfId="1"/>
    <tableColumn id="5" xr3:uid="{6935BE9C-AE8A-4849-B7BB-D225F09B6CD9}" name=" Average Price" dataDxfId="0"/>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75AA9-68B7-4A76-AA72-CFD864166D2C}">
  <dimension ref="A1:G34"/>
  <sheetViews>
    <sheetView showGridLines="0" view="pageBreakPreview" zoomScaleNormal="100" zoomScaleSheetLayoutView="100" workbookViewId="0">
      <selection activeCell="A38" sqref="A38"/>
    </sheetView>
  </sheetViews>
  <sheetFormatPr defaultColWidth="8.77734375" defaultRowHeight="14.4"/>
  <cols>
    <col min="1" max="1" width="114.77734375" customWidth="1"/>
    <col min="2" max="2" width="18.77734375" customWidth="1"/>
    <col min="3" max="3" width="10.109375" customWidth="1"/>
  </cols>
  <sheetData>
    <row r="1" spans="1:5" ht="44.1" customHeight="1"/>
    <row r="2" spans="1:5" ht="46.05" customHeight="1">
      <c r="A2" s="74" t="s">
        <v>106</v>
      </c>
      <c r="B2" s="75"/>
      <c r="C2" s="28"/>
      <c r="D2" s="28"/>
      <c r="E2" s="28"/>
    </row>
    <row r="4" spans="1:5" s="4" customFormat="1" ht="35.1" customHeight="1">
      <c r="A4" s="12" t="s">
        <v>0</v>
      </c>
      <c r="B4" s="12" t="s">
        <v>1</v>
      </c>
    </row>
    <row r="5" spans="1:5" s="5" customFormat="1" ht="20.100000000000001" customHeight="1">
      <c r="A5" s="13" t="s">
        <v>2</v>
      </c>
      <c r="B5" s="13">
        <v>1</v>
      </c>
    </row>
    <row r="6" spans="1:5" s="4" customFormat="1" ht="16.05" customHeight="1">
      <c r="A6" s="32" t="s">
        <v>3</v>
      </c>
      <c r="B6" s="9">
        <v>1.1000000000000001</v>
      </c>
    </row>
    <row r="7" spans="1:5" s="4" customFormat="1" ht="16.05" customHeight="1">
      <c r="A7" s="33" t="s">
        <v>4</v>
      </c>
      <c r="B7" s="10">
        <v>1.2</v>
      </c>
    </row>
    <row r="8" spans="1:5" s="4" customFormat="1" ht="16.05" customHeight="1">
      <c r="A8" s="32" t="s">
        <v>5</v>
      </c>
      <c r="B8" s="9">
        <v>1.3</v>
      </c>
    </row>
    <row r="9" spans="1:5" s="4" customFormat="1" ht="16.05" customHeight="1">
      <c r="A9" s="33" t="s">
        <v>6</v>
      </c>
      <c r="B9" s="10">
        <v>1.4</v>
      </c>
    </row>
    <row r="10" spans="1:5" s="4" customFormat="1" ht="16.05" customHeight="1">
      <c r="A10" s="32" t="s">
        <v>7</v>
      </c>
      <c r="B10" s="9">
        <v>1.5</v>
      </c>
    </row>
    <row r="11" spans="1:5" s="4" customFormat="1" ht="20.100000000000001" customHeight="1">
      <c r="A11" s="34" t="s">
        <v>8</v>
      </c>
      <c r="B11" s="13">
        <v>2</v>
      </c>
    </row>
    <row r="12" spans="1:5" s="4" customFormat="1" ht="16.05" customHeight="1">
      <c r="A12" s="32" t="s">
        <v>43</v>
      </c>
      <c r="B12" s="9">
        <v>2.1</v>
      </c>
    </row>
    <row r="13" spans="1:5" s="4" customFormat="1" ht="16.05" customHeight="1">
      <c r="A13" s="33" t="s">
        <v>62</v>
      </c>
      <c r="B13" s="10">
        <v>2.2000000000000002</v>
      </c>
    </row>
    <row r="14" spans="1:5" s="4" customFormat="1" ht="16.05" customHeight="1">
      <c r="A14" s="32" t="s">
        <v>65</v>
      </c>
      <c r="B14" s="9">
        <v>2.2999999999999998</v>
      </c>
    </row>
    <row r="15" spans="1:5" s="4" customFormat="1" ht="16.05" customHeight="1">
      <c r="A15" s="33" t="s">
        <v>69</v>
      </c>
      <c r="B15" s="10">
        <v>2.4</v>
      </c>
    </row>
    <row r="16" spans="1:5" s="4" customFormat="1" ht="16.05" customHeight="1">
      <c r="A16" s="32" t="s">
        <v>86</v>
      </c>
      <c r="B16" s="9">
        <v>2.5</v>
      </c>
    </row>
    <row r="17" spans="1:7" s="4" customFormat="1" ht="16.05" customHeight="1">
      <c r="A17" s="33" t="s">
        <v>89</v>
      </c>
      <c r="B17" s="10">
        <v>2.6</v>
      </c>
    </row>
    <row r="18" spans="1:7" s="4" customFormat="1" ht="16.05" customHeight="1">
      <c r="A18" s="32" t="s">
        <v>132</v>
      </c>
      <c r="B18" s="9">
        <v>2.7</v>
      </c>
    </row>
    <row r="19" spans="1:7" s="4" customFormat="1" ht="16.05" customHeight="1">
      <c r="A19" s="33" t="s">
        <v>133</v>
      </c>
      <c r="B19" s="10">
        <v>2.8</v>
      </c>
    </row>
    <row r="20" spans="1:7" s="4" customFormat="1" ht="16.05" customHeight="1">
      <c r="A20" s="32" t="s">
        <v>134</v>
      </c>
      <c r="B20" s="9">
        <v>2.9</v>
      </c>
    </row>
    <row r="21" spans="1:7" s="4" customFormat="1" ht="16.05" customHeight="1">
      <c r="A21" s="33" t="s">
        <v>135</v>
      </c>
      <c r="B21" s="10">
        <v>2.1</v>
      </c>
    </row>
    <row r="22" spans="1:7" s="4" customFormat="1" ht="16.05" customHeight="1">
      <c r="A22" s="32" t="s">
        <v>136</v>
      </c>
      <c r="B22" s="9">
        <v>2.11</v>
      </c>
    </row>
    <row r="23" spans="1:7" s="4" customFormat="1" ht="16.05" customHeight="1">
      <c r="A23" s="33" t="s">
        <v>137</v>
      </c>
      <c r="B23" s="10">
        <v>2.12</v>
      </c>
    </row>
    <row r="24" spans="1:7" s="5" customFormat="1" ht="20.100000000000001" customHeight="1">
      <c r="A24" s="34" t="s">
        <v>9</v>
      </c>
      <c r="B24" s="13">
        <v>3</v>
      </c>
      <c r="C24" s="4"/>
      <c r="D24" s="4"/>
      <c r="E24" s="4"/>
      <c r="F24" s="4"/>
      <c r="G24" s="4"/>
    </row>
    <row r="25" spans="1:7" s="5" customFormat="1" ht="20.100000000000001" customHeight="1">
      <c r="A25" s="33" t="s">
        <v>149</v>
      </c>
      <c r="B25" s="49">
        <v>3.1</v>
      </c>
      <c r="C25" s="4"/>
      <c r="D25" s="4"/>
      <c r="E25" s="4"/>
      <c r="F25" s="4"/>
      <c r="G25" s="4"/>
    </row>
    <row r="26" spans="1:7" s="5" customFormat="1" ht="20.100000000000001" customHeight="1">
      <c r="A26" s="32" t="s">
        <v>107</v>
      </c>
      <c r="B26" s="11">
        <v>3.2</v>
      </c>
      <c r="D26" s="4"/>
      <c r="E26" s="4"/>
      <c r="F26" s="4"/>
      <c r="G26" s="4"/>
    </row>
    <row r="27" spans="1:7" s="5" customFormat="1" ht="20.100000000000001" customHeight="1">
      <c r="A27" s="33" t="s">
        <v>97</v>
      </c>
      <c r="B27" s="10">
        <v>3.3</v>
      </c>
      <c r="D27" s="4"/>
      <c r="E27" s="4"/>
      <c r="F27" s="4"/>
      <c r="G27" s="4"/>
    </row>
    <row r="28" spans="1:7" s="5" customFormat="1" ht="20.100000000000001" customHeight="1">
      <c r="A28" s="32" t="s">
        <v>99</v>
      </c>
      <c r="B28" s="11">
        <v>3.4</v>
      </c>
    </row>
    <row r="29" spans="1:7" s="5" customFormat="1" ht="20.100000000000001" customHeight="1">
      <c r="A29" s="33" t="s">
        <v>101</v>
      </c>
      <c r="B29" s="10">
        <v>3.5</v>
      </c>
    </row>
    <row r="30" spans="1:7" s="5" customFormat="1" ht="20.100000000000001" customHeight="1">
      <c r="A30" s="32" t="s">
        <v>108</v>
      </c>
      <c r="B30" s="11">
        <v>3.6</v>
      </c>
    </row>
    <row r="31" spans="1:7" s="5" customFormat="1" ht="20.100000000000001" customHeight="1">
      <c r="A31" s="33" t="s">
        <v>104</v>
      </c>
      <c r="B31" s="10">
        <v>3.7</v>
      </c>
    </row>
    <row r="32" spans="1:7">
      <c r="A32" s="32" t="s">
        <v>138</v>
      </c>
      <c r="B32" s="11">
        <v>3.8</v>
      </c>
    </row>
    <row r="33" spans="1:2">
      <c r="A33" s="33" t="s">
        <v>139</v>
      </c>
      <c r="B33" s="10">
        <v>3.9</v>
      </c>
    </row>
    <row r="34" spans="1:2">
      <c r="A34" s="32" t="s">
        <v>140</v>
      </c>
      <c r="B34" s="50">
        <v>3.1</v>
      </c>
    </row>
  </sheetData>
  <mergeCells count="1">
    <mergeCell ref="A2:B2"/>
  </mergeCells>
  <hyperlinks>
    <hyperlink ref="A12" location="'2.1'!A1" display="عدد المشتغلين السعوديين في الأنشطة السياحية حسب الجنس والنشاط للربع الأول من عام 2023" xr:uid="{54966216-129C-401D-BC83-C62CEDB601E9}"/>
    <hyperlink ref="A14" location="'2.3'!A1" display="إجمالي المشتغلين في الأنشطة السياحية حسب الجنس والنشاط للربع الأول من عام 2023" xr:uid="{93AC69F5-F667-412E-B453-A4A713D82E80}"/>
    <hyperlink ref="A15" location="'2.4'!A1" display="عدد المشتغلين السعوديين في الأنشطة السياحية حسب الجنس والمنطقة للربع الأول من عام 2023" xr:uid="{BB17CF4B-5CC4-4433-BABC-EC87044DEC33}"/>
    <hyperlink ref="A16" location="'2.5'!A1" display="عدد المشتغلين غير السعوديين في الأنشطة السياحية حسب الجنس والمنطقة للربع الأول من عام 2023" xr:uid="{55AD7927-5704-4A11-B5C5-0FE9D52EDDA4}"/>
    <hyperlink ref="A26" location="'3.2'!A1" display="Room occupancy rate in serviced apartments and other hospitality facilities by administrative region and month in Q4 of 2024" xr:uid="{CB803B24-0259-4998-AA35-D3E08F98500A}"/>
    <hyperlink ref="A27" location="'3.3'!A1" display="Room occupancy rate in hotels by administrative regions and month in Q4 of 2024" xr:uid="{F9CD457C-3EDF-4796-B1EE-E1EE54AF563F}"/>
    <hyperlink ref="A28" location="'3.4'!A1" display="Average daily room rate in serviced apartments and other hospitality facilities by administrative regions and month in Q4 of 2024" xr:uid="{1502249A-3E31-4EE9-A0B6-7E2A49ACB80D}"/>
    <hyperlink ref="A29" location="'3.5'!A1" display="Average daily room rate in hotels by administrative regions and month in Q4 of 2024" xr:uid="{BFDD028B-4C68-4672-930C-0D11E8F2005B}"/>
    <hyperlink ref="A30" location="'3.6'!A1" display="Average length of stay in serviced apartments and other hospitality facilities by administrative regions and month in Q4 of 2024" xr:uid="{B2EC0F1C-8AB8-44D6-8103-9853821EA000}"/>
    <hyperlink ref="A31" location="'3.7'!A1" display="Average length of stay in hotels by administrative regions and month in Q4 of 2024" xr:uid="{51A024DE-B4DA-43A9-A562-4918BE4A742E}"/>
    <hyperlink ref="A13" location="'2.2'!A1" display="عدد المشتغلين غير السعوديين في الأنشطة السياحية حسب الجنس والنشاط للربع الأول من عام 2023" xr:uid="{68DE12EB-BC3A-4AE3-8BCD-3B1DCE575F18}"/>
    <hyperlink ref="A8" location="'1.3'!A1" display="معدل إشغال الغرف في مرافق الضيافة السياحية" xr:uid="{8FB1AEAD-64F1-4D0C-B39E-5F2D495631BA}"/>
    <hyperlink ref="A9" location="'1.4'!A1" display="متوسط السعر اليومي للغرفة في مرافق الضيافة السياحية" xr:uid="{A3343141-6A72-4740-8A4D-F2E731F419E0}"/>
    <hyperlink ref="A10" location="'1.5'!A1" display="متوسط مدة الإقامة في مرافق الضيافة السياحية" xr:uid="{05A236B9-6F19-4549-BF21-E0BDD111BA18}"/>
    <hyperlink ref="A7" location="'1.2'!A1" display="مساهمة المشتغلين في الأنشطة السياحية في إجمالي المشتغلين " xr:uid="{8B8EC934-3180-422B-84FB-A9F1F437B3D8}"/>
    <hyperlink ref="A6" location="'1.1'!A1" display="المؤشرات الرئيسية للمشتغلين في الأنشطة السياحية" xr:uid="{4121679F-5E0F-4083-AF62-602528B06349}"/>
    <hyperlink ref="A17" location="'2.6'!A1" display="إجمالي المشتغلين في الأنشطة السياحية حسب الجنس والمنطقة للربع الأول من عام 2023" xr:uid="{4C28EB65-83D5-4363-98B5-421AD3E32632}"/>
    <hyperlink ref="A18" location="'2.7'!A1" display="Change over the second quarter of 2023 in number of Saudi employees in tourism activities by activity " xr:uid="{B9EDCA8F-613F-4CDC-8B36-1A7B20601700}"/>
    <hyperlink ref="A19" location="'2.8'!A1" display="Change over the second quarter of 2023 in number of non-Saudi employees in tourism activities by activity " xr:uid="{7A6CB5AD-4A58-43CD-923F-446A16D9688C}"/>
    <hyperlink ref="A20" location="'2.9'!A1" display="Change over the second quarter of 2023 in total employees in tourism activities by activity " xr:uid="{98EC0238-2C5B-41F2-962F-27DBC69E01D7}"/>
    <hyperlink ref="A21" location="'2.10'!A1" display="Change over the second quarter of 2023 in number of Saudi employees in tourism activities by region " xr:uid="{391D4A79-0F03-429C-B5FF-1CA5AD78E57E}"/>
    <hyperlink ref="A22" location="'2.11'!A1" display="Change over the second quarter of 2023 in number of non-Saudi employees in tourism activities by region" xr:uid="{547AAB90-3B91-40BB-A968-FFC77498DB7C}"/>
    <hyperlink ref="A23" location="'2.12'!A1" display="Change over the second quarter of 2023 in total employees in tourism activities by region " xr:uid="{1F0E98CE-6BC9-45ED-8F27-9B635054301C}"/>
    <hyperlink ref="A33" location="'3.9'!A1" display="Change over the fourth quarter of 2023 in average daily room rate by month and type of facility" xr:uid="{EF5E9915-3494-4C56-96B9-24C8544E6564}"/>
    <hyperlink ref="A34" location="'3.10'!A1" display="Change over the fourth quarter of 2023 in the average length of stay by month and type of facility " xr:uid="{600CA296-BF48-435C-929B-72703B2F8E8B}"/>
    <hyperlink ref="A32" location="'3.8'!A1" display="Change over the fourth quarter of 2023 in rooms occupancy rate by month and type of facility" xr:uid="{2CFDFDED-AC74-4C66-BDB6-01A5995506C1}"/>
    <hyperlink ref="A25" location="'3.1'!A1" display="Number of tourist hospitality facilities in Q3 of 2024" xr:uid="{FD85F5A2-5368-457B-B341-766B20875078}"/>
  </hyperlinks>
  <pageMargins left="0.7" right="0.7" top="0.75" bottom="0.75" header="0.3" footer="0.3"/>
  <pageSetup scale="57" orientation="portrait" r:id="rId1"/>
  <colBreaks count="1" manualBreakCount="1">
    <brk id="6" max="1048575" man="1"/>
  </colBreak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F1F2-7E28-474D-9503-B5014682042A}">
  <sheetPr>
    <tabColor theme="3" tint="0.79998168889431442"/>
  </sheetPr>
  <dimension ref="A1:J9"/>
  <sheetViews>
    <sheetView showGridLines="0" view="pageBreakPreview" zoomScaleNormal="100" zoomScaleSheetLayoutView="100" workbookViewId="0">
      <selection activeCell="C4" sqref="C4:J4"/>
    </sheetView>
  </sheetViews>
  <sheetFormatPr defaultColWidth="8.77734375" defaultRowHeight="14.4"/>
  <cols>
    <col min="1" max="1" width="7.44140625" customWidth="1"/>
    <col min="2" max="2" width="59.77734375" customWidth="1"/>
    <col min="3" max="4" width="15.44140625" customWidth="1"/>
    <col min="5" max="5" width="14.44140625" customWidth="1"/>
    <col min="6" max="10" width="15.109375" customWidth="1"/>
  </cols>
  <sheetData>
    <row r="1" spans="1:10" ht="48" customHeight="1"/>
    <row r="2" spans="1:10" ht="46.05" customHeight="1">
      <c r="A2" s="82" t="s">
        <v>3</v>
      </c>
      <c r="B2" s="83"/>
      <c r="C2" s="83"/>
      <c r="D2" s="83"/>
      <c r="E2" s="83"/>
      <c r="F2" s="83"/>
      <c r="G2" s="83"/>
      <c r="H2" s="83"/>
      <c r="I2" s="83"/>
      <c r="J2" s="83"/>
    </row>
    <row r="3" spans="1:10">
      <c r="A3" s="14" t="s">
        <v>10</v>
      </c>
      <c r="F3" s="8"/>
      <c r="G3" s="8"/>
    </row>
    <row r="4" spans="1:10" ht="35.1" customHeight="1">
      <c r="A4" s="76" t="s">
        <v>11</v>
      </c>
      <c r="B4" s="77"/>
      <c r="C4" s="16" t="s">
        <v>12</v>
      </c>
      <c r="D4" s="16" t="s">
        <v>13</v>
      </c>
      <c r="E4" s="16" t="s">
        <v>14</v>
      </c>
      <c r="F4" s="16" t="s">
        <v>15</v>
      </c>
      <c r="G4" s="16" t="s">
        <v>16</v>
      </c>
      <c r="H4" s="16" t="s">
        <v>17</v>
      </c>
      <c r="I4" s="16" t="s">
        <v>18</v>
      </c>
      <c r="J4" s="16" t="s">
        <v>19</v>
      </c>
    </row>
    <row r="5" spans="1:10" ht="16.05" customHeight="1">
      <c r="A5" s="17">
        <v>1</v>
      </c>
      <c r="B5" s="36" t="s">
        <v>20</v>
      </c>
      <c r="C5" s="17">
        <v>900532</v>
      </c>
      <c r="D5" s="17">
        <v>912197</v>
      </c>
      <c r="E5" s="17">
        <v>919172</v>
      </c>
      <c r="F5" s="17">
        <v>929404</v>
      </c>
      <c r="G5" s="17">
        <v>944299</v>
      </c>
      <c r="H5" s="17">
        <v>959175</v>
      </c>
      <c r="I5" s="17">
        <v>948629</v>
      </c>
      <c r="J5" s="17">
        <v>966531</v>
      </c>
    </row>
    <row r="6" spans="1:10" ht="16.05" customHeight="1">
      <c r="A6" s="18">
        <v>2</v>
      </c>
      <c r="B6" s="37" t="s">
        <v>21</v>
      </c>
      <c r="C6" s="18">
        <v>239740</v>
      </c>
      <c r="D6" s="18">
        <v>242113</v>
      </c>
      <c r="E6" s="18">
        <v>243949</v>
      </c>
      <c r="F6" s="18">
        <v>244898</v>
      </c>
      <c r="G6" s="18">
        <v>247713</v>
      </c>
      <c r="H6" s="18">
        <v>245905</v>
      </c>
      <c r="I6" s="18">
        <v>240771</v>
      </c>
      <c r="J6" s="18">
        <v>242073</v>
      </c>
    </row>
    <row r="7" spans="1:10" ht="16.05" customHeight="1">
      <c r="A7" s="17">
        <v>3</v>
      </c>
      <c r="B7" s="36" t="s">
        <v>22</v>
      </c>
      <c r="C7" s="17">
        <v>660792</v>
      </c>
      <c r="D7" s="17">
        <v>670084</v>
      </c>
      <c r="E7" s="17">
        <v>675223</v>
      </c>
      <c r="F7" s="17">
        <v>684506</v>
      </c>
      <c r="G7" s="17">
        <v>696586</v>
      </c>
      <c r="H7" s="17">
        <v>713270</v>
      </c>
      <c r="I7" s="17">
        <v>707858</v>
      </c>
      <c r="J7" s="17">
        <v>724458</v>
      </c>
    </row>
    <row r="8" spans="1:10" ht="16.05" customHeight="1">
      <c r="A8" s="18">
        <v>4</v>
      </c>
      <c r="B8" s="37" t="s">
        <v>23</v>
      </c>
      <c r="C8" s="19">
        <v>0.13069052515624097</v>
      </c>
      <c r="D8" s="19">
        <v>0.13173141328024537</v>
      </c>
      <c r="E8" s="19">
        <v>0.13345815581849751</v>
      </c>
      <c r="F8" s="19">
        <v>0.13345757065818525</v>
      </c>
      <c r="G8" s="19">
        <v>0.13437375238139615</v>
      </c>
      <c r="H8" s="19">
        <v>0.13355122892068705</v>
      </c>
      <c r="I8" s="19">
        <v>0.132891783826976</v>
      </c>
      <c r="J8" s="19">
        <v>0.13301073633437521</v>
      </c>
    </row>
    <row r="9" spans="1:10" ht="14.1" customHeight="1">
      <c r="A9" s="80" t="s">
        <v>109</v>
      </c>
      <c r="B9" s="81"/>
      <c r="C9" s="81"/>
      <c r="D9" s="81"/>
      <c r="E9" s="81"/>
      <c r="F9" s="81"/>
      <c r="G9" s="81"/>
      <c r="H9" s="81"/>
      <c r="I9" s="78" t="s">
        <v>24</v>
      </c>
      <c r="J9" s="79"/>
    </row>
  </sheetData>
  <mergeCells count="4">
    <mergeCell ref="A4:B4"/>
    <mergeCell ref="I9:J9"/>
    <mergeCell ref="A9:H9"/>
    <mergeCell ref="A2:J2"/>
  </mergeCells>
  <hyperlinks>
    <hyperlink ref="I9" location="'Content'!A1" display="العودة للقائمة الرئيسية" xr:uid="{3E63FE0A-128B-4DB4-97B0-FB8E0F929287}"/>
  </hyperlinks>
  <pageMargins left="0.7" right="0.7" top="0.75" bottom="0.75" header="0.3" footer="0.3"/>
  <pageSetup scale="4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1BCF7-BB70-4F33-BFB8-949C032DA394}">
  <sheetPr>
    <tabColor rgb="FFC00000"/>
  </sheetPr>
  <dimension ref="A1:D9"/>
  <sheetViews>
    <sheetView zoomScaleNormal="100" workbookViewId="0">
      <selection activeCell="D10" sqref="D10"/>
    </sheetView>
  </sheetViews>
  <sheetFormatPr defaultColWidth="23.44140625" defaultRowHeight="14.4"/>
  <cols>
    <col min="3" max="3" width="26" customWidth="1"/>
  </cols>
  <sheetData>
    <row r="1" spans="1:4">
      <c r="A1" s="64" t="s">
        <v>160</v>
      </c>
      <c r="B1" s="64" t="s">
        <v>157</v>
      </c>
      <c r="C1" s="64" t="s">
        <v>158</v>
      </c>
      <c r="D1" s="64" t="s">
        <v>159</v>
      </c>
    </row>
    <row r="2" spans="1:4">
      <c r="A2" s="61">
        <f>B2/C2</f>
        <v>0.26622041193427887</v>
      </c>
      <c r="B2" s="18">
        <v>239740</v>
      </c>
      <c r="C2" s="66">
        <v>900532</v>
      </c>
      <c r="D2" s="16" t="s">
        <v>12</v>
      </c>
    </row>
    <row r="3" spans="1:4">
      <c r="A3" s="61">
        <f t="shared" ref="A3:A9" si="0">B3/C3</f>
        <v>0.26541744820471896</v>
      </c>
      <c r="B3" s="18">
        <v>242113</v>
      </c>
      <c r="C3" s="66">
        <v>912197</v>
      </c>
      <c r="D3" s="16" t="s">
        <v>13</v>
      </c>
    </row>
    <row r="4" spans="1:4">
      <c r="A4" s="61">
        <f t="shared" si="0"/>
        <v>0.26540081725727066</v>
      </c>
      <c r="B4" s="18">
        <v>243949</v>
      </c>
      <c r="C4" s="66">
        <v>919172</v>
      </c>
      <c r="D4" s="16" t="s">
        <v>14</v>
      </c>
    </row>
    <row r="5" spans="1:4">
      <c r="A5" s="61">
        <f t="shared" si="0"/>
        <v>0.2635000494940844</v>
      </c>
      <c r="B5" s="18">
        <v>244898</v>
      </c>
      <c r="C5" s="66">
        <v>929404</v>
      </c>
      <c r="D5" s="16" t="s">
        <v>15</v>
      </c>
    </row>
    <row r="6" spans="1:4">
      <c r="A6" s="61">
        <f t="shared" si="0"/>
        <v>0.2623247509528232</v>
      </c>
      <c r="B6" s="18">
        <v>247713</v>
      </c>
      <c r="C6" s="66">
        <v>944299</v>
      </c>
      <c r="D6" s="16" t="s">
        <v>16</v>
      </c>
    </row>
    <row r="7" spans="1:4">
      <c r="A7" s="61">
        <f t="shared" si="0"/>
        <v>0.25637136080485834</v>
      </c>
      <c r="B7" s="18">
        <v>245905</v>
      </c>
      <c r="C7" s="66">
        <v>959175</v>
      </c>
      <c r="D7" s="16" t="s">
        <v>17</v>
      </c>
    </row>
    <row r="8" spans="1:4">
      <c r="A8" s="61">
        <f t="shared" si="0"/>
        <v>0.25380944499904601</v>
      </c>
      <c r="B8" s="18">
        <v>240771</v>
      </c>
      <c r="C8" s="66">
        <v>948629</v>
      </c>
      <c r="D8" s="16" t="s">
        <v>18</v>
      </c>
    </row>
    <row r="9" spans="1:4">
      <c r="A9" s="61">
        <f t="shared" si="0"/>
        <v>0.25045549496084452</v>
      </c>
      <c r="B9" s="18">
        <v>242073</v>
      </c>
      <c r="C9" s="66">
        <v>966531</v>
      </c>
      <c r="D9" s="16"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A04CE-F3B3-4BB5-AC63-BF4F34A594A8}">
  <sheetPr>
    <tabColor theme="3" tint="0.79998168889431442"/>
  </sheetPr>
  <dimension ref="A1:J12"/>
  <sheetViews>
    <sheetView showGridLines="0" view="pageBreakPreview" zoomScaleNormal="100" zoomScaleSheetLayoutView="100" workbookViewId="0">
      <selection activeCell="D17" sqref="D17"/>
    </sheetView>
  </sheetViews>
  <sheetFormatPr defaultColWidth="8.77734375" defaultRowHeight="14.4"/>
  <cols>
    <col min="1" max="1" width="7.44140625" customWidth="1"/>
    <col min="2" max="2" width="94.21875" customWidth="1"/>
    <col min="3" max="4" width="15.44140625" customWidth="1"/>
    <col min="5" max="5" width="14.44140625" customWidth="1"/>
    <col min="6" max="10" width="15.109375" customWidth="1"/>
  </cols>
  <sheetData>
    <row r="1" spans="1:10" ht="38.1" customHeight="1"/>
    <row r="2" spans="1:10" ht="46.05" customHeight="1">
      <c r="A2" s="82" t="s">
        <v>25</v>
      </c>
      <c r="B2" s="83"/>
      <c r="C2" s="83"/>
      <c r="D2" s="83"/>
      <c r="E2" s="83"/>
      <c r="F2" s="83"/>
      <c r="G2" s="83"/>
      <c r="H2" s="83"/>
      <c r="I2" s="83"/>
      <c r="J2" s="83"/>
    </row>
    <row r="3" spans="1:10">
      <c r="A3" s="14" t="s">
        <v>26</v>
      </c>
    </row>
    <row r="4" spans="1:10" ht="35.1" customHeight="1">
      <c r="A4" s="76" t="s">
        <v>11</v>
      </c>
      <c r="B4" s="77"/>
      <c r="C4" s="16" t="s">
        <v>12</v>
      </c>
      <c r="D4" s="16" t="s">
        <v>13</v>
      </c>
      <c r="E4" s="16" t="s">
        <v>14</v>
      </c>
      <c r="F4" s="16" t="s">
        <v>15</v>
      </c>
      <c r="G4" s="16" t="s">
        <v>16</v>
      </c>
      <c r="H4" s="16" t="s">
        <v>17</v>
      </c>
      <c r="I4" s="16" t="s">
        <v>18</v>
      </c>
      <c r="J4" s="16" t="s">
        <v>19</v>
      </c>
    </row>
    <row r="5" spans="1:10" ht="16.05" customHeight="1">
      <c r="A5" s="17">
        <v>1</v>
      </c>
      <c r="B5" s="36" t="s">
        <v>27</v>
      </c>
      <c r="C5" s="20">
        <v>5.8615517478845136E-2</v>
      </c>
      <c r="D5" s="20">
        <v>5.9022516109278847E-2</v>
      </c>
      <c r="E5" s="20">
        <v>5.810867690376513E-2</v>
      </c>
      <c r="F5" s="20">
        <v>5.8499056868844851E-2</v>
      </c>
      <c r="G5" s="20">
        <v>5.7174100922233816E-2</v>
      </c>
      <c r="H5" s="20">
        <v>5.6876876438821757E-2</v>
      </c>
      <c r="I5" s="20">
        <v>5.5212764316626153E-2</v>
      </c>
      <c r="J5" s="20">
        <v>5.469195524966515E-2</v>
      </c>
    </row>
    <row r="6" spans="1:10" ht="16.05" customHeight="1">
      <c r="A6" s="18">
        <v>2</v>
      </c>
      <c r="B6" s="37" t="s">
        <v>28</v>
      </c>
      <c r="C6" s="19">
        <v>9.0704458008501035E-2</v>
      </c>
      <c r="D6" s="19">
        <v>9.1442041323478038E-2</v>
      </c>
      <c r="E6" s="19">
        <v>8.9449650875902439E-2</v>
      </c>
      <c r="F6" s="19">
        <v>9.0301167769597956E-2</v>
      </c>
      <c r="G6" s="19">
        <v>8.7166748144231532E-2</v>
      </c>
      <c r="H6" s="19">
        <v>8.6108772254585172E-2</v>
      </c>
      <c r="I6" s="19">
        <v>8.3034218838282978E-2</v>
      </c>
      <c r="J6" s="19">
        <v>8.164979502884008E-2</v>
      </c>
    </row>
    <row r="7" spans="1:10" ht="16.05" customHeight="1">
      <c r="A7" s="17">
        <v>3</v>
      </c>
      <c r="B7" s="36" t="s">
        <v>151</v>
      </c>
      <c r="C7" s="20">
        <v>7.6824674747999713E-2</v>
      </c>
      <c r="D7" s="20">
        <v>7.7540481288090865E-2</v>
      </c>
      <c r="E7" s="20">
        <v>7.6093150058491349E-2</v>
      </c>
      <c r="F7" s="20">
        <v>7.70586761900411E-2</v>
      </c>
      <c r="G7" s="20">
        <v>7.4930824009026301E-2</v>
      </c>
      <c r="H7" s="20">
        <v>7.4317780326039792E-2</v>
      </c>
      <c r="I7" s="20">
        <v>7.1817851391558926E-2</v>
      </c>
      <c r="J7" s="20">
        <v>7.0867816587508431E-2</v>
      </c>
    </row>
    <row r="8" spans="1:10" ht="16.05" customHeight="1">
      <c r="A8" s="18">
        <v>4</v>
      </c>
      <c r="B8" s="37" t="s">
        <v>29</v>
      </c>
      <c r="C8" s="19">
        <v>0.10731173670084672</v>
      </c>
      <c r="D8" s="19">
        <v>0.10877132293150156</v>
      </c>
      <c r="E8" s="19">
        <v>0.1073345975651072</v>
      </c>
      <c r="F8" s="19">
        <v>0.10645003827277426</v>
      </c>
      <c r="G8" s="19">
        <v>0.10666176946765782</v>
      </c>
      <c r="H8" s="19">
        <v>0.10609441563831816</v>
      </c>
      <c r="I8" s="19">
        <v>0.10201802224752266</v>
      </c>
      <c r="J8" s="19">
        <v>0.10052197528403428</v>
      </c>
    </row>
    <row r="9" spans="1:10" ht="16.05" customHeight="1">
      <c r="A9" s="17">
        <v>5</v>
      </c>
      <c r="B9" s="36" t="s">
        <v>30</v>
      </c>
      <c r="C9" s="20">
        <v>8.5882413491396317E-2</v>
      </c>
      <c r="D9" s="20">
        <v>8.6464738744702285E-2</v>
      </c>
      <c r="E9" s="20">
        <v>8.437050836372896E-2</v>
      </c>
      <c r="F9" s="20">
        <v>8.5652339139247205E-2</v>
      </c>
      <c r="G9" s="20">
        <v>8.1846992162458387E-2</v>
      </c>
      <c r="H9" s="20">
        <v>8.0857559218778602E-2</v>
      </c>
      <c r="I9" s="20">
        <v>7.809147626028301E-2</v>
      </c>
      <c r="J9" s="20">
        <v>7.6830036909189686E-2</v>
      </c>
    </row>
    <row r="10" spans="1:10" ht="14.1" customHeight="1">
      <c r="A10" s="80" t="s">
        <v>141</v>
      </c>
      <c r="B10" s="81"/>
      <c r="C10" s="81"/>
      <c r="D10" s="81"/>
      <c r="E10" s="81"/>
      <c r="F10" s="81"/>
      <c r="G10" s="81"/>
      <c r="H10" s="87"/>
      <c r="I10" s="86" t="s">
        <v>24</v>
      </c>
      <c r="J10" s="79"/>
    </row>
    <row r="11" spans="1:10" ht="13.95" customHeight="1">
      <c r="A11" s="80" t="s">
        <v>31</v>
      </c>
      <c r="B11" s="81"/>
      <c r="C11" s="81"/>
      <c r="D11" s="81"/>
      <c r="E11" s="81"/>
      <c r="F11" s="81"/>
      <c r="G11" s="81"/>
      <c r="H11" s="87"/>
    </row>
    <row r="12" spans="1:10">
      <c r="A12" s="84" t="s">
        <v>150</v>
      </c>
      <c r="B12" s="85"/>
    </row>
  </sheetData>
  <mergeCells count="6">
    <mergeCell ref="A2:J2"/>
    <mergeCell ref="A12:B12"/>
    <mergeCell ref="A4:B4"/>
    <mergeCell ref="I10:J10"/>
    <mergeCell ref="A10:H10"/>
    <mergeCell ref="A11:H11"/>
  </mergeCells>
  <hyperlinks>
    <hyperlink ref="I10" location="'Content'!A1" display="العودة للقائمة الرئيسية" xr:uid="{A81553FD-5AB4-48A8-8613-F4C0AAF38FB1}"/>
  </hyperlinks>
  <pageMargins left="0.7" right="0.7" top="0.75" bottom="0.75" header="0.3" footer="0.3"/>
  <pageSetup scale="3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B5BEF-F32B-4FE2-BEA4-E2A15E18126D}">
  <sheetPr>
    <tabColor theme="3" tint="0.79998168889431442"/>
  </sheetPr>
  <dimension ref="A1:J7"/>
  <sheetViews>
    <sheetView showGridLines="0" view="pageBreakPreview" zoomScaleNormal="100" zoomScaleSheetLayoutView="100" workbookViewId="0">
      <selection activeCell="C4" sqref="C4:J4"/>
    </sheetView>
  </sheetViews>
  <sheetFormatPr defaultColWidth="8.77734375" defaultRowHeight="14.4"/>
  <cols>
    <col min="1" max="1" width="7.44140625" customWidth="1"/>
    <col min="2" max="2" width="45.109375" customWidth="1"/>
    <col min="3" max="3" width="16.77734375" customWidth="1"/>
    <col min="4" max="4" width="15.77734375" customWidth="1"/>
    <col min="5" max="5" width="16.77734375" customWidth="1"/>
    <col min="6" max="10" width="15.109375" customWidth="1"/>
  </cols>
  <sheetData>
    <row r="1" spans="1:10" ht="42.6" customHeight="1"/>
    <row r="2" spans="1:10" ht="46.05" customHeight="1">
      <c r="A2" s="82" t="s">
        <v>5</v>
      </c>
      <c r="B2" s="83"/>
      <c r="C2" s="83"/>
      <c r="D2" s="83"/>
      <c r="E2" s="83"/>
      <c r="F2" s="83"/>
      <c r="G2" s="83"/>
      <c r="H2" s="83"/>
      <c r="I2" s="83"/>
      <c r="J2" s="83"/>
    </row>
    <row r="3" spans="1:10">
      <c r="A3" s="14" t="s">
        <v>32</v>
      </c>
    </row>
    <row r="4" spans="1:10" ht="35.1" customHeight="1">
      <c r="A4" s="76" t="s">
        <v>11</v>
      </c>
      <c r="B4" s="77"/>
      <c r="C4" s="15" t="s">
        <v>12</v>
      </c>
      <c r="D4" s="15" t="s">
        <v>13</v>
      </c>
      <c r="E4" s="15" t="s">
        <v>14</v>
      </c>
      <c r="F4" s="15" t="s">
        <v>15</v>
      </c>
      <c r="G4" s="15" t="s">
        <v>16</v>
      </c>
      <c r="H4" s="15" t="s">
        <v>17</v>
      </c>
      <c r="I4" s="15" t="s">
        <v>18</v>
      </c>
      <c r="J4" s="15" t="s">
        <v>19</v>
      </c>
    </row>
    <row r="5" spans="1:10" ht="16.05" customHeight="1">
      <c r="A5" s="17">
        <v>1</v>
      </c>
      <c r="B5" s="36" t="s">
        <v>33</v>
      </c>
      <c r="C5" s="20">
        <v>0.5300695102593771</v>
      </c>
      <c r="D5" s="20">
        <v>0.508742092844369</v>
      </c>
      <c r="E5" s="20">
        <v>0.5624683298988471</v>
      </c>
      <c r="F5" s="20">
        <v>0.55386037015377909</v>
      </c>
      <c r="G5" s="20">
        <v>0.54460763043832539</v>
      </c>
      <c r="H5" s="20">
        <v>0.52353589509802556</v>
      </c>
      <c r="I5" s="20">
        <v>0.5795779464070433</v>
      </c>
      <c r="J5" s="20">
        <v>0.55865316178156532</v>
      </c>
    </row>
    <row r="6" spans="1:10" ht="16.05" customHeight="1">
      <c r="A6" s="18">
        <v>2</v>
      </c>
      <c r="B6" s="37" t="s">
        <v>34</v>
      </c>
      <c r="C6" s="19">
        <v>0.63209641256950566</v>
      </c>
      <c r="D6" s="19">
        <v>0.54873567213195651</v>
      </c>
      <c r="E6" s="19">
        <v>0.53386953099440593</v>
      </c>
      <c r="F6" s="19">
        <v>0.6020428889579027</v>
      </c>
      <c r="G6" s="19">
        <v>0.60916603339764586</v>
      </c>
      <c r="H6" s="19">
        <v>0.55418166864552643</v>
      </c>
      <c r="I6" s="19">
        <v>0.46130983553685667</v>
      </c>
      <c r="J6" s="19">
        <v>0.55953774737260131</v>
      </c>
    </row>
    <row r="7" spans="1:10" ht="14.1" customHeight="1">
      <c r="A7" s="84" t="s">
        <v>148</v>
      </c>
      <c r="B7" s="85"/>
      <c r="I7" s="88" t="s">
        <v>24</v>
      </c>
      <c r="J7" s="89"/>
    </row>
  </sheetData>
  <mergeCells count="4">
    <mergeCell ref="A7:B7"/>
    <mergeCell ref="A4:B4"/>
    <mergeCell ref="I7:J7"/>
    <mergeCell ref="A2:J2"/>
  </mergeCells>
  <hyperlinks>
    <hyperlink ref="I7" location="'Content'!A1" display="العودة للقائمة الرئيسية" xr:uid="{AD00DAEB-F312-40D8-9E27-7DAE2BC11BB5}"/>
  </hyperlinks>
  <pageMargins left="0.7" right="0.7" top="0.75" bottom="0.75" header="0.3" footer="0.3"/>
  <pageSetup scale="4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4E1EA-6D05-4F8E-91FD-4CF9617AD491}">
  <sheetPr>
    <tabColor rgb="FFFFFF00"/>
  </sheetPr>
  <dimension ref="A1:C9"/>
  <sheetViews>
    <sheetView workbookViewId="0">
      <selection activeCell="D22" sqref="D22"/>
    </sheetView>
  </sheetViews>
  <sheetFormatPr defaultColWidth="21.5546875" defaultRowHeight="14.4"/>
  <cols>
    <col min="1" max="1" width="56.6640625" customWidth="1"/>
  </cols>
  <sheetData>
    <row r="1" spans="1:3">
      <c r="A1" s="68" t="s">
        <v>162</v>
      </c>
      <c r="B1" s="5" t="s">
        <v>161</v>
      </c>
      <c r="C1" s="5" t="s">
        <v>159</v>
      </c>
    </row>
    <row r="2" spans="1:3">
      <c r="A2" s="70">
        <v>0.5300695102593771</v>
      </c>
      <c r="B2" s="71">
        <v>0.63209641256950566</v>
      </c>
      <c r="C2" s="69" t="s">
        <v>12</v>
      </c>
    </row>
    <row r="3" spans="1:3">
      <c r="A3" s="70">
        <v>0.508742092844369</v>
      </c>
      <c r="B3" s="71">
        <v>0.54873567213195651</v>
      </c>
      <c r="C3" s="69" t="s">
        <v>13</v>
      </c>
    </row>
    <row r="4" spans="1:3">
      <c r="A4" s="70">
        <v>0.5624683298988471</v>
      </c>
      <c r="B4" s="71">
        <v>0.53386953099440593</v>
      </c>
      <c r="C4" s="69" t="s">
        <v>14</v>
      </c>
    </row>
    <row r="5" spans="1:3">
      <c r="A5" s="70">
        <v>0.55386037015377909</v>
      </c>
      <c r="B5" s="71">
        <v>0.6020428889579027</v>
      </c>
      <c r="C5" s="69" t="s">
        <v>15</v>
      </c>
    </row>
    <row r="6" spans="1:3">
      <c r="A6" s="70">
        <v>0.54460763043832539</v>
      </c>
      <c r="B6" s="71">
        <v>0.60916603339764586</v>
      </c>
      <c r="C6" s="69" t="s">
        <v>16</v>
      </c>
    </row>
    <row r="7" spans="1:3">
      <c r="A7" s="70">
        <v>0.52353589509802556</v>
      </c>
      <c r="B7" s="71">
        <v>0.55418166864552643</v>
      </c>
      <c r="C7" s="69" t="s">
        <v>17</v>
      </c>
    </row>
    <row r="8" spans="1:3">
      <c r="A8" s="70">
        <v>0.5795779464070433</v>
      </c>
      <c r="B8" s="71">
        <v>0.46130983553685667</v>
      </c>
      <c r="C8" s="69" t="s">
        <v>18</v>
      </c>
    </row>
    <row r="9" spans="1:3">
      <c r="A9" s="70">
        <v>0.55865316178156532</v>
      </c>
      <c r="B9" s="71">
        <v>0.55953774737260131</v>
      </c>
      <c r="C9" s="69" t="s">
        <v>19</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7E758-F6EE-4742-9229-8F427871B5D3}">
  <sheetPr>
    <tabColor theme="3" tint="0.79998168889431442"/>
  </sheetPr>
  <dimension ref="A1:J7"/>
  <sheetViews>
    <sheetView showGridLines="0" view="pageBreakPreview" zoomScaleNormal="100" zoomScaleSheetLayoutView="100" workbookViewId="0">
      <selection activeCell="C5" sqref="C5:J6"/>
    </sheetView>
  </sheetViews>
  <sheetFormatPr defaultColWidth="8.77734375" defaultRowHeight="14.4"/>
  <cols>
    <col min="1" max="1" width="7.44140625" customWidth="1"/>
    <col min="2" max="2" width="52.44140625" customWidth="1"/>
    <col min="3" max="3" width="14.44140625" customWidth="1"/>
    <col min="4" max="4" width="15.77734375" customWidth="1"/>
    <col min="5" max="5" width="15.44140625" customWidth="1"/>
    <col min="6" max="10" width="15.109375" customWidth="1"/>
  </cols>
  <sheetData>
    <row r="1" spans="1:10" ht="44.55" customHeight="1"/>
    <row r="2" spans="1:10" ht="46.05" customHeight="1">
      <c r="A2" s="82" t="s">
        <v>6</v>
      </c>
      <c r="B2" s="83"/>
      <c r="C2" s="83"/>
      <c r="D2" s="83"/>
      <c r="E2" s="83"/>
      <c r="F2" s="83"/>
      <c r="G2" s="83"/>
      <c r="H2" s="83"/>
      <c r="I2" s="83"/>
      <c r="J2" s="83"/>
    </row>
    <row r="3" spans="1:10">
      <c r="A3" s="14" t="s">
        <v>35</v>
      </c>
      <c r="J3" s="46" t="s">
        <v>36</v>
      </c>
    </row>
    <row r="4" spans="1:10" ht="35.1" customHeight="1">
      <c r="A4" s="76" t="s">
        <v>11</v>
      </c>
      <c r="B4" s="77"/>
      <c r="C4" s="15" t="s">
        <v>12</v>
      </c>
      <c r="D4" s="15" t="s">
        <v>13</v>
      </c>
      <c r="E4" s="15" t="s">
        <v>14</v>
      </c>
      <c r="F4" s="15" t="s">
        <v>15</v>
      </c>
      <c r="G4" s="15" t="s">
        <v>16</v>
      </c>
      <c r="H4" s="15" t="s">
        <v>17</v>
      </c>
      <c r="I4" s="15" t="s">
        <v>18</v>
      </c>
      <c r="J4" s="15" t="s">
        <v>19</v>
      </c>
    </row>
    <row r="5" spans="1:10" ht="16.05" customHeight="1">
      <c r="A5" s="17">
        <v>1</v>
      </c>
      <c r="B5" s="36" t="s">
        <v>37</v>
      </c>
      <c r="C5" s="25">
        <v>168.0294648051761</v>
      </c>
      <c r="D5" s="25">
        <v>174.17560524287137</v>
      </c>
      <c r="E5" s="25">
        <v>172.48994583778415</v>
      </c>
      <c r="F5" s="25">
        <v>175.59068352016016</v>
      </c>
      <c r="G5" s="25">
        <v>194.74222774881952</v>
      </c>
      <c r="H5" s="25">
        <v>198.59381714601886</v>
      </c>
      <c r="I5" s="25">
        <v>199.95253759318527</v>
      </c>
      <c r="J5" s="25">
        <v>219.62684156199603</v>
      </c>
    </row>
    <row r="6" spans="1:10" ht="16.05" customHeight="1">
      <c r="A6" s="18">
        <v>2</v>
      </c>
      <c r="B6" s="37" t="s">
        <v>38</v>
      </c>
      <c r="C6" s="26">
        <v>515.37436958411513</v>
      </c>
      <c r="D6" s="26">
        <v>790.00943354723802</v>
      </c>
      <c r="E6" s="26">
        <v>442.2134889072978</v>
      </c>
      <c r="F6" s="26">
        <v>449.45904497688377</v>
      </c>
      <c r="G6" s="26">
        <v>494.01818306225505</v>
      </c>
      <c r="H6" s="26">
        <v>668.76487715889334</v>
      </c>
      <c r="I6" s="26">
        <v>353.65926004258586</v>
      </c>
      <c r="J6" s="26">
        <v>440.05704382192329</v>
      </c>
    </row>
    <row r="7" spans="1:10" ht="14.1" customHeight="1">
      <c r="A7" s="84" t="s">
        <v>148</v>
      </c>
      <c r="B7" s="85"/>
      <c r="I7" s="88" t="s">
        <v>24</v>
      </c>
      <c r="J7" s="89"/>
    </row>
  </sheetData>
  <mergeCells count="4">
    <mergeCell ref="A7:B7"/>
    <mergeCell ref="A4:B4"/>
    <mergeCell ref="I7:J7"/>
    <mergeCell ref="A2:J2"/>
  </mergeCells>
  <hyperlinks>
    <hyperlink ref="I7" location="'Content'!A1" display="العودة للقائمة الرئيسية" xr:uid="{451EF1D9-5D6A-4000-94A9-A3BBA26F836E}"/>
  </hyperlinks>
  <pageMargins left="0.7" right="0.7" top="0.75" bottom="0.75" header="0.3" footer="0.3"/>
  <pageSetup scale="4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0B23-1B7E-4D29-B0AF-917F5EF0CF55}">
  <sheetPr>
    <tabColor theme="3" tint="0.79998168889431442"/>
  </sheetPr>
  <dimension ref="A1:J7"/>
  <sheetViews>
    <sheetView showGridLines="0" view="pageBreakPreview" zoomScaleNormal="100" zoomScaleSheetLayoutView="100" workbookViewId="0">
      <selection activeCell="J21" sqref="J21"/>
    </sheetView>
  </sheetViews>
  <sheetFormatPr defaultColWidth="8.77734375" defaultRowHeight="14.4"/>
  <cols>
    <col min="1" max="1" width="7.44140625" customWidth="1"/>
    <col min="2" max="2" width="47.77734375" customWidth="1"/>
    <col min="3" max="12" width="15.109375" customWidth="1"/>
  </cols>
  <sheetData>
    <row r="1" spans="1:10" ht="41.55" customHeight="1"/>
    <row r="2" spans="1:10" ht="46.05" customHeight="1">
      <c r="A2" s="82" t="s">
        <v>7</v>
      </c>
      <c r="B2" s="83"/>
      <c r="C2" s="83"/>
      <c r="D2" s="83"/>
      <c r="E2" s="83"/>
      <c r="F2" s="83"/>
      <c r="G2" s="83"/>
      <c r="H2" s="83"/>
      <c r="I2" s="83"/>
      <c r="J2" s="83"/>
    </row>
    <row r="3" spans="1:10">
      <c r="A3" s="14" t="s">
        <v>39</v>
      </c>
      <c r="J3" s="46" t="s">
        <v>131</v>
      </c>
    </row>
    <row r="4" spans="1:10" ht="35.1" customHeight="1">
      <c r="A4" s="76" t="s">
        <v>11</v>
      </c>
      <c r="B4" s="77"/>
      <c r="C4" s="15" t="s">
        <v>12</v>
      </c>
      <c r="D4" s="15" t="s">
        <v>13</v>
      </c>
      <c r="E4" s="15" t="s">
        <v>14</v>
      </c>
      <c r="F4" s="15" t="s">
        <v>15</v>
      </c>
      <c r="G4" s="15" t="s">
        <v>16</v>
      </c>
      <c r="H4" s="15" t="s">
        <v>17</v>
      </c>
      <c r="I4" s="15" t="s">
        <v>18</v>
      </c>
      <c r="J4" s="15" t="s">
        <v>19</v>
      </c>
    </row>
    <row r="5" spans="1:10" ht="16.05" customHeight="1">
      <c r="A5" s="17">
        <v>1</v>
      </c>
      <c r="B5" s="36" t="s">
        <v>41</v>
      </c>
      <c r="C5" s="22">
        <v>2.5249200423207894</v>
      </c>
      <c r="D5" s="22">
        <v>2.3729386875073319</v>
      </c>
      <c r="E5" s="22">
        <v>2.5266185462270885</v>
      </c>
      <c r="F5" s="22">
        <v>2.434994612770875</v>
      </c>
      <c r="G5" s="22">
        <v>2.1898689815651249</v>
      </c>
      <c r="H5" s="22">
        <v>2.1147019905453526</v>
      </c>
      <c r="I5" s="22">
        <v>2.1123318748609754</v>
      </c>
      <c r="J5" s="22">
        <v>2.1386760784333556</v>
      </c>
    </row>
    <row r="6" spans="1:10" ht="16.05" customHeight="1">
      <c r="A6" s="18">
        <v>2</v>
      </c>
      <c r="B6" s="37" t="s">
        <v>42</v>
      </c>
      <c r="C6" s="23">
        <v>3.657243849379916</v>
      </c>
      <c r="D6" s="23">
        <v>4.39105856884769</v>
      </c>
      <c r="E6" s="23">
        <v>3.7261531609258798</v>
      </c>
      <c r="F6" s="23">
        <v>3.5980752410080137</v>
      </c>
      <c r="G6" s="23">
        <v>4.1176123412766046</v>
      </c>
      <c r="H6" s="23">
        <v>5.1626716351019857</v>
      </c>
      <c r="I6" s="23">
        <v>4.1509486322610201</v>
      </c>
      <c r="J6" s="23">
        <v>3.6377577014076143</v>
      </c>
    </row>
    <row r="7" spans="1:10" ht="14.1" customHeight="1">
      <c r="A7" s="84" t="s">
        <v>148</v>
      </c>
      <c r="B7" s="85"/>
      <c r="I7" s="88" t="s">
        <v>24</v>
      </c>
      <c r="J7" s="89"/>
    </row>
  </sheetData>
  <mergeCells count="4">
    <mergeCell ref="A7:B7"/>
    <mergeCell ref="A4:B4"/>
    <mergeCell ref="I7:J7"/>
    <mergeCell ref="A2:J2"/>
  </mergeCells>
  <hyperlinks>
    <hyperlink ref="I7" location="'Content'!A1" display="العودة للقائمة الرئيسية" xr:uid="{0518BDC2-680A-477E-836F-B7211A5BB85A}"/>
  </hyperlinks>
  <pageMargins left="0.7" right="0.7" top="0.75" bottom="0.75" header="0.3" footer="0.3"/>
  <pageSetup scale="4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3CC1-9D62-42E0-B835-6E67BBC04D7F}">
  <sheetPr>
    <tabColor theme="3" tint="0.39997558519241921"/>
  </sheetPr>
  <dimension ref="A1:F18"/>
  <sheetViews>
    <sheetView showGridLines="0" view="pageBreakPreview" zoomScaleNormal="100" zoomScaleSheetLayoutView="100" workbookViewId="0">
      <selection activeCell="E16" sqref="E4:E16"/>
    </sheetView>
  </sheetViews>
  <sheetFormatPr defaultColWidth="8.77734375" defaultRowHeight="14.4"/>
  <cols>
    <col min="1" max="1" width="7.44140625" customWidth="1"/>
    <col min="2" max="2" width="37.77734375" customWidth="1"/>
    <col min="3" max="4" width="15.44140625" customWidth="1"/>
    <col min="5" max="5" width="14.44140625" customWidth="1"/>
    <col min="6" max="6" width="13.77734375" customWidth="1"/>
  </cols>
  <sheetData>
    <row r="1" spans="1:6" ht="40.049999999999997" customHeight="1"/>
    <row r="2" spans="1:6" ht="40.049999999999997" customHeight="1">
      <c r="A2" s="90" t="s">
        <v>43</v>
      </c>
      <c r="B2" s="83"/>
      <c r="C2" s="83"/>
      <c r="D2" s="83"/>
      <c r="E2" s="83"/>
      <c r="F2" s="83"/>
    </row>
    <row r="3" spans="1:6">
      <c r="A3" s="14" t="s">
        <v>44</v>
      </c>
    </row>
    <row r="4" spans="1:6" ht="35.1" customHeight="1">
      <c r="A4" s="91" t="s">
        <v>45</v>
      </c>
      <c r="B4" s="92"/>
      <c r="C4" s="15" t="s">
        <v>46</v>
      </c>
      <c r="D4" s="15" t="s">
        <v>47</v>
      </c>
      <c r="E4" s="15" t="s">
        <v>48</v>
      </c>
      <c r="F4" s="24" t="s">
        <v>49</v>
      </c>
    </row>
    <row r="5" spans="1:6" ht="16.05" customHeight="1">
      <c r="A5" s="17">
        <v>1</v>
      </c>
      <c r="B5" s="36" t="s">
        <v>50</v>
      </c>
      <c r="C5" s="25">
        <v>31177</v>
      </c>
      <c r="D5" s="25">
        <v>20073</v>
      </c>
      <c r="E5" s="25">
        <v>51250</v>
      </c>
      <c r="F5" s="20">
        <v>0.38851069636278179</v>
      </c>
    </row>
    <row r="6" spans="1:6" ht="16.05" customHeight="1">
      <c r="A6" s="18">
        <v>2</v>
      </c>
      <c r="B6" s="37" t="s">
        <v>51</v>
      </c>
      <c r="C6" s="26">
        <v>55390</v>
      </c>
      <c r="D6" s="26">
        <v>60884</v>
      </c>
      <c r="E6" s="26">
        <v>116274</v>
      </c>
      <c r="F6" s="19">
        <v>0.18227879057707352</v>
      </c>
    </row>
    <row r="7" spans="1:6" ht="16.05" customHeight="1">
      <c r="A7" s="17">
        <v>3</v>
      </c>
      <c r="B7" s="36" t="s">
        <v>52</v>
      </c>
      <c r="C7" s="25">
        <v>3517</v>
      </c>
      <c r="D7" s="25">
        <v>189</v>
      </c>
      <c r="E7" s="25">
        <v>3706</v>
      </c>
      <c r="F7" s="20">
        <v>0.86246218291831511</v>
      </c>
    </row>
    <row r="8" spans="1:6" ht="16.05" customHeight="1">
      <c r="A8" s="18">
        <v>4</v>
      </c>
      <c r="B8" s="37" t="s">
        <v>53</v>
      </c>
      <c r="C8" s="26">
        <v>3754</v>
      </c>
      <c r="D8" s="26">
        <v>2832</v>
      </c>
      <c r="E8" s="26">
        <v>6586</v>
      </c>
      <c r="F8" s="19">
        <v>0.2121368292211557</v>
      </c>
    </row>
    <row r="9" spans="1:6" ht="16.05" customHeight="1">
      <c r="A9" s="17">
        <v>5</v>
      </c>
      <c r="B9" s="36" t="s">
        <v>54</v>
      </c>
      <c r="C9" s="25">
        <v>402</v>
      </c>
      <c r="D9" s="25">
        <v>220</v>
      </c>
      <c r="E9" s="25">
        <v>622</v>
      </c>
      <c r="F9" s="20">
        <v>0.39119496855345914</v>
      </c>
    </row>
    <row r="10" spans="1:6" ht="16.05" customHeight="1">
      <c r="A10" s="18">
        <v>6</v>
      </c>
      <c r="B10" s="37" t="s">
        <v>55</v>
      </c>
      <c r="C10" s="26">
        <v>12305</v>
      </c>
      <c r="D10" s="26">
        <v>1024</v>
      </c>
      <c r="E10" s="26">
        <v>13329</v>
      </c>
      <c r="F10" s="19">
        <v>0.64394415189139576</v>
      </c>
    </row>
    <row r="11" spans="1:6" ht="16.05" customHeight="1">
      <c r="A11" s="17">
        <v>7</v>
      </c>
      <c r="B11" s="36" t="s">
        <v>56</v>
      </c>
      <c r="C11" s="25">
        <v>7033</v>
      </c>
      <c r="D11" s="25">
        <v>1543</v>
      </c>
      <c r="E11" s="25">
        <v>8576</v>
      </c>
      <c r="F11" s="20">
        <v>0.42152863111329564</v>
      </c>
    </row>
    <row r="12" spans="1:6" ht="16.05" customHeight="1">
      <c r="A12" s="18">
        <v>8</v>
      </c>
      <c r="B12" s="37" t="s">
        <v>57</v>
      </c>
      <c r="C12" s="26">
        <v>3941</v>
      </c>
      <c r="D12" s="26">
        <v>3250</v>
      </c>
      <c r="E12" s="26">
        <v>7191</v>
      </c>
      <c r="F12" s="19">
        <v>0.3465542168674699</v>
      </c>
    </row>
    <row r="13" spans="1:6" ht="16.05" customHeight="1">
      <c r="A13" s="17">
        <v>9</v>
      </c>
      <c r="B13" s="36" t="s">
        <v>58</v>
      </c>
      <c r="C13" s="25">
        <v>1200</v>
      </c>
      <c r="D13" s="25">
        <v>798</v>
      </c>
      <c r="E13" s="25">
        <v>1998</v>
      </c>
      <c r="F13" s="20">
        <v>0.55530850472484716</v>
      </c>
    </row>
    <row r="14" spans="1:6" ht="16.05" customHeight="1">
      <c r="A14" s="18">
        <v>10</v>
      </c>
      <c r="B14" s="37" t="s">
        <v>59</v>
      </c>
      <c r="C14" s="26">
        <v>2050</v>
      </c>
      <c r="D14" s="26">
        <v>3113</v>
      </c>
      <c r="E14" s="26">
        <v>5163</v>
      </c>
      <c r="F14" s="19">
        <v>0.38145548577761357</v>
      </c>
    </row>
    <row r="15" spans="1:6" ht="16.05" customHeight="1">
      <c r="A15" s="17">
        <v>11</v>
      </c>
      <c r="B15" s="36" t="s">
        <v>60</v>
      </c>
      <c r="C15" s="25">
        <v>4664</v>
      </c>
      <c r="D15" s="25">
        <v>3807</v>
      </c>
      <c r="E15" s="25">
        <v>8471</v>
      </c>
      <c r="F15" s="20">
        <v>0.45601851851851855</v>
      </c>
    </row>
    <row r="16" spans="1:6" ht="16.05" customHeight="1">
      <c r="A16" s="18">
        <v>12</v>
      </c>
      <c r="B16" s="37" t="s">
        <v>61</v>
      </c>
      <c r="C16" s="26">
        <v>5814</v>
      </c>
      <c r="D16" s="26">
        <v>13093</v>
      </c>
      <c r="E16" s="26">
        <v>18907</v>
      </c>
      <c r="F16" s="19">
        <v>0.30353186707336649</v>
      </c>
    </row>
    <row r="17" spans="1:6" ht="20.100000000000001" customHeight="1">
      <c r="A17" s="76" t="s">
        <v>48</v>
      </c>
      <c r="B17" s="77"/>
      <c r="C17" s="29">
        <v>131247</v>
      </c>
      <c r="D17" s="29">
        <v>110826</v>
      </c>
      <c r="E17" s="29">
        <v>242073</v>
      </c>
      <c r="F17" s="30">
        <v>0.25045549496084452</v>
      </c>
    </row>
    <row r="18" spans="1:6" ht="28.5" customHeight="1">
      <c r="A18" s="84" t="s">
        <v>109</v>
      </c>
      <c r="B18" s="85"/>
      <c r="C18" s="85"/>
      <c r="D18" s="85"/>
      <c r="E18" s="78" t="s">
        <v>24</v>
      </c>
      <c r="F18" s="79"/>
    </row>
  </sheetData>
  <mergeCells count="5">
    <mergeCell ref="A2:F2"/>
    <mergeCell ref="A4:B4"/>
    <mergeCell ref="A17:B17"/>
    <mergeCell ref="A18:D18"/>
    <mergeCell ref="E18:F18"/>
  </mergeCells>
  <hyperlinks>
    <hyperlink ref="E18" location="'Content'!A1" display="العودة للقائمة الرئيسية" xr:uid="{D8248184-8CBF-496B-915C-6D26D30EDFD8}"/>
  </hyperlinks>
  <pageMargins left="0.7" right="0.7" top="0.75" bottom="0.75" header="0.3" footer="0.3"/>
  <pageSetup scale="8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44C6-F269-4334-86DE-F52E5074631A}">
  <sheetPr>
    <tabColor theme="3" tint="0.39997558519241921"/>
  </sheetPr>
  <dimension ref="A1:F18"/>
  <sheetViews>
    <sheetView showGridLines="0" view="pageBreakPreview" zoomScaleNormal="100" zoomScaleSheetLayoutView="100" workbookViewId="0">
      <selection activeCell="B21" sqref="B21"/>
    </sheetView>
  </sheetViews>
  <sheetFormatPr defaultColWidth="8.77734375" defaultRowHeight="14.4"/>
  <cols>
    <col min="1" max="1" width="7.44140625" customWidth="1"/>
    <col min="2" max="2" width="39.109375" customWidth="1"/>
    <col min="3" max="4" width="15.44140625" customWidth="1"/>
    <col min="5" max="5" width="14.44140625" customWidth="1"/>
    <col min="6" max="6" width="16.44140625" customWidth="1"/>
  </cols>
  <sheetData>
    <row r="1" spans="1:6" ht="40.5" customHeight="1"/>
    <row r="2" spans="1:6" ht="46.05" customHeight="1">
      <c r="A2" s="90" t="s">
        <v>62</v>
      </c>
      <c r="B2" s="83"/>
      <c r="C2" s="83"/>
      <c r="D2" s="83"/>
      <c r="E2" s="83"/>
      <c r="F2" s="83"/>
    </row>
    <row r="3" spans="1:6">
      <c r="A3" s="14" t="s">
        <v>63</v>
      </c>
    </row>
    <row r="4" spans="1:6" ht="35.1" customHeight="1">
      <c r="A4" s="91" t="s">
        <v>45</v>
      </c>
      <c r="B4" s="92"/>
      <c r="C4" s="15" t="s">
        <v>46</v>
      </c>
      <c r="D4" s="15" t="s">
        <v>47</v>
      </c>
      <c r="E4" s="15" t="s">
        <v>48</v>
      </c>
      <c r="F4" s="24" t="s">
        <v>64</v>
      </c>
    </row>
    <row r="5" spans="1:6" ht="16.05" customHeight="1">
      <c r="A5" s="17">
        <v>1</v>
      </c>
      <c r="B5" s="36" t="s">
        <v>50</v>
      </c>
      <c r="C5" s="25">
        <v>78552</v>
      </c>
      <c r="D5" s="25">
        <v>2112</v>
      </c>
      <c r="E5" s="25">
        <v>80664</v>
      </c>
      <c r="F5" s="20">
        <v>0.61148930363721821</v>
      </c>
    </row>
    <row r="6" spans="1:6" ht="16.05" customHeight="1">
      <c r="A6" s="18">
        <v>2</v>
      </c>
      <c r="B6" s="37" t="s">
        <v>51</v>
      </c>
      <c r="C6" s="26">
        <v>514816</v>
      </c>
      <c r="D6" s="26">
        <v>6801</v>
      </c>
      <c r="E6" s="26">
        <v>521617</v>
      </c>
      <c r="F6" s="19">
        <v>0.81772120942292648</v>
      </c>
    </row>
    <row r="7" spans="1:6" ht="16.05" customHeight="1">
      <c r="A7" s="17">
        <v>3</v>
      </c>
      <c r="B7" s="36" t="s">
        <v>52</v>
      </c>
      <c r="C7" s="25">
        <v>589</v>
      </c>
      <c r="D7" s="25">
        <v>2</v>
      </c>
      <c r="E7" s="25">
        <v>591</v>
      </c>
      <c r="F7" s="20">
        <v>0.13753781708168489</v>
      </c>
    </row>
    <row r="8" spans="1:6" ht="16.05" customHeight="1">
      <c r="A8" s="18">
        <v>4</v>
      </c>
      <c r="B8" s="37" t="s">
        <v>53</v>
      </c>
      <c r="C8" s="26">
        <v>24346</v>
      </c>
      <c r="D8" s="26">
        <v>114</v>
      </c>
      <c r="E8" s="26">
        <v>24460</v>
      </c>
      <c r="F8" s="19">
        <v>0.78786317077884427</v>
      </c>
    </row>
    <row r="9" spans="1:6" ht="16.05" customHeight="1">
      <c r="A9" s="17">
        <v>5</v>
      </c>
      <c r="B9" s="36" t="s">
        <v>54</v>
      </c>
      <c r="C9" s="25">
        <v>943</v>
      </c>
      <c r="D9" s="25">
        <v>25</v>
      </c>
      <c r="E9" s="25">
        <v>968</v>
      </c>
      <c r="F9" s="20">
        <v>0.60880503144654086</v>
      </c>
    </row>
    <row r="10" spans="1:6" ht="16.05" customHeight="1">
      <c r="A10" s="18">
        <v>6</v>
      </c>
      <c r="B10" s="37" t="s">
        <v>55</v>
      </c>
      <c r="C10" s="26">
        <v>2184</v>
      </c>
      <c r="D10" s="26">
        <v>5186</v>
      </c>
      <c r="E10" s="26">
        <v>7370</v>
      </c>
      <c r="F10" s="19">
        <v>0.3560558481086043</v>
      </c>
    </row>
    <row r="11" spans="1:6" ht="16.05" customHeight="1">
      <c r="A11" s="17">
        <v>7</v>
      </c>
      <c r="B11" s="36" t="s">
        <v>56</v>
      </c>
      <c r="C11" s="25">
        <v>11724</v>
      </c>
      <c r="D11" s="25">
        <v>45</v>
      </c>
      <c r="E11" s="25">
        <v>11769</v>
      </c>
      <c r="F11" s="20">
        <v>0.57847136888670436</v>
      </c>
    </row>
    <row r="12" spans="1:6" ht="16.05" customHeight="1">
      <c r="A12" s="18">
        <v>8</v>
      </c>
      <c r="B12" s="37" t="s">
        <v>57</v>
      </c>
      <c r="C12" s="26">
        <v>13044</v>
      </c>
      <c r="D12" s="26">
        <v>515</v>
      </c>
      <c r="E12" s="26">
        <v>13559</v>
      </c>
      <c r="F12" s="19">
        <v>0.6534457831325301</v>
      </c>
    </row>
    <row r="13" spans="1:6" ht="16.05" customHeight="1">
      <c r="A13" s="17">
        <v>9</v>
      </c>
      <c r="B13" s="36" t="s">
        <v>58</v>
      </c>
      <c r="C13" s="25">
        <v>1464</v>
      </c>
      <c r="D13" s="25">
        <v>136</v>
      </c>
      <c r="E13" s="25">
        <v>1600</v>
      </c>
      <c r="F13" s="20">
        <v>0.44469149527515284</v>
      </c>
    </row>
    <row r="14" spans="1:6" ht="16.05" customHeight="1">
      <c r="A14" s="18">
        <v>10</v>
      </c>
      <c r="B14" s="37" t="s">
        <v>59</v>
      </c>
      <c r="C14" s="26">
        <v>7729</v>
      </c>
      <c r="D14" s="26">
        <v>643</v>
      </c>
      <c r="E14" s="26">
        <v>8372</v>
      </c>
      <c r="F14" s="19">
        <v>0.61854451422238643</v>
      </c>
    </row>
    <row r="15" spans="1:6" ht="16.05" customHeight="1">
      <c r="A15" s="17">
        <v>11</v>
      </c>
      <c r="B15" s="36" t="s">
        <v>60</v>
      </c>
      <c r="C15" s="25">
        <v>9261</v>
      </c>
      <c r="D15" s="25">
        <v>844</v>
      </c>
      <c r="E15" s="25">
        <v>10105</v>
      </c>
      <c r="F15" s="20">
        <v>0.54398148148148151</v>
      </c>
    </row>
    <row r="16" spans="1:6" ht="16.05" customHeight="1">
      <c r="A16" s="18">
        <v>12</v>
      </c>
      <c r="B16" s="37" t="s">
        <v>61</v>
      </c>
      <c r="C16" s="26">
        <v>42073</v>
      </c>
      <c r="D16" s="26">
        <v>1310</v>
      </c>
      <c r="E16" s="26">
        <v>43383</v>
      </c>
      <c r="F16" s="19">
        <v>0.69646813292663345</v>
      </c>
    </row>
    <row r="17" spans="1:6" ht="20.100000000000001" customHeight="1">
      <c r="A17" s="76" t="s">
        <v>48</v>
      </c>
      <c r="B17" s="77"/>
      <c r="C17" s="29">
        <v>706725</v>
      </c>
      <c r="D17" s="29">
        <v>17733</v>
      </c>
      <c r="E17" s="29">
        <v>724458</v>
      </c>
      <c r="F17" s="30">
        <v>0.74954450503915548</v>
      </c>
    </row>
    <row r="18" spans="1:6" ht="25.05" customHeight="1">
      <c r="A18" s="84" t="s">
        <v>109</v>
      </c>
      <c r="B18" s="85"/>
      <c r="C18" s="85"/>
      <c r="D18" s="85"/>
      <c r="E18" s="78" t="s">
        <v>24</v>
      </c>
      <c r="F18" s="79"/>
    </row>
  </sheetData>
  <mergeCells count="5">
    <mergeCell ref="A2:F2"/>
    <mergeCell ref="A4:B4"/>
    <mergeCell ref="A17:B17"/>
    <mergeCell ref="A18:D18"/>
    <mergeCell ref="E18:F18"/>
  </mergeCells>
  <hyperlinks>
    <hyperlink ref="E18" location="'Content'!A1" display="العودة للقائمة الرئيسية" xr:uid="{F2259EEE-E12F-4F40-B76F-D59C34FB276A}"/>
  </hyperlinks>
  <pageMargins left="0.7" right="0.7" top="0.75" bottom="0.75" header="0.3" footer="0.3"/>
  <pageSetup scale="77"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7249-7AB6-4D97-B4D0-6E7BE4C48D16}">
  <sheetPr>
    <tabColor theme="3" tint="0.39997558519241921"/>
  </sheetPr>
  <dimension ref="A1:F21"/>
  <sheetViews>
    <sheetView showGridLines="0" view="pageBreakPreview" zoomScaleNormal="100" zoomScaleSheetLayoutView="100" workbookViewId="0">
      <selection activeCell="E16" sqref="E4:E16"/>
    </sheetView>
  </sheetViews>
  <sheetFormatPr defaultColWidth="8.77734375" defaultRowHeight="14.4"/>
  <cols>
    <col min="1" max="1" width="7.44140625" customWidth="1"/>
    <col min="2" max="2" width="39.109375" customWidth="1"/>
    <col min="3" max="4" width="15.44140625" customWidth="1"/>
    <col min="5" max="5" width="14.44140625" customWidth="1"/>
    <col min="6" max="6" width="15.109375" customWidth="1"/>
  </cols>
  <sheetData>
    <row r="1" spans="1:6" ht="40.049999999999997" customHeight="1"/>
    <row r="2" spans="1:6" ht="46.05" customHeight="1">
      <c r="A2" s="90" t="s">
        <v>65</v>
      </c>
      <c r="B2" s="83"/>
      <c r="C2" s="83"/>
      <c r="D2" s="83"/>
      <c r="E2" s="83"/>
      <c r="F2" s="83"/>
    </row>
    <row r="3" spans="1:6">
      <c r="A3" s="14" t="s">
        <v>66</v>
      </c>
    </row>
    <row r="4" spans="1:6" ht="35.1" customHeight="1">
      <c r="A4" s="91" t="s">
        <v>45</v>
      </c>
      <c r="B4" s="92"/>
      <c r="C4" s="15" t="s">
        <v>67</v>
      </c>
      <c r="D4" s="15" t="s">
        <v>47</v>
      </c>
      <c r="E4" s="15" t="s">
        <v>48</v>
      </c>
      <c r="F4" s="24" t="s">
        <v>68</v>
      </c>
    </row>
    <row r="5" spans="1:6" ht="16.05" customHeight="1">
      <c r="A5" s="17">
        <v>1</v>
      </c>
      <c r="B5" s="36" t="s">
        <v>50</v>
      </c>
      <c r="C5" s="25">
        <v>109729</v>
      </c>
      <c r="D5" s="25">
        <v>22185</v>
      </c>
      <c r="E5" s="25">
        <v>131914</v>
      </c>
      <c r="F5" s="20">
        <v>0.13648191315125952</v>
      </c>
    </row>
    <row r="6" spans="1:6" ht="16.05" customHeight="1">
      <c r="A6" s="18">
        <v>2</v>
      </c>
      <c r="B6" s="37" t="s">
        <v>51</v>
      </c>
      <c r="C6" s="26">
        <v>570206</v>
      </c>
      <c r="D6" s="26">
        <v>67685</v>
      </c>
      <c r="E6" s="26">
        <v>637891</v>
      </c>
      <c r="F6" s="19">
        <v>0.65997986613983406</v>
      </c>
    </row>
    <row r="7" spans="1:6" ht="16.05" customHeight="1">
      <c r="A7" s="17">
        <v>3</v>
      </c>
      <c r="B7" s="36" t="s">
        <v>52</v>
      </c>
      <c r="C7" s="25">
        <v>4106</v>
      </c>
      <c r="D7" s="25">
        <v>191</v>
      </c>
      <c r="E7" s="25">
        <v>4297</v>
      </c>
      <c r="F7" s="20">
        <v>4.4457963583164947E-3</v>
      </c>
    </row>
    <row r="8" spans="1:6" ht="16.05" customHeight="1">
      <c r="A8" s="18">
        <v>4</v>
      </c>
      <c r="B8" s="37" t="s">
        <v>53</v>
      </c>
      <c r="C8" s="26">
        <v>28100</v>
      </c>
      <c r="D8" s="26">
        <v>2946</v>
      </c>
      <c r="E8" s="26">
        <v>31046</v>
      </c>
      <c r="F8" s="19">
        <v>3.2121059748730252E-2</v>
      </c>
    </row>
    <row r="9" spans="1:6" ht="16.05" customHeight="1">
      <c r="A9" s="17">
        <v>5</v>
      </c>
      <c r="B9" s="36" t="s">
        <v>54</v>
      </c>
      <c r="C9" s="25">
        <v>1345</v>
      </c>
      <c r="D9" s="25">
        <v>245</v>
      </c>
      <c r="E9" s="25">
        <v>1590</v>
      </c>
      <c r="F9" s="20">
        <v>1.6450584616530665E-3</v>
      </c>
    </row>
    <row r="10" spans="1:6" ht="16.05" customHeight="1">
      <c r="A10" s="18">
        <v>6</v>
      </c>
      <c r="B10" s="37" t="s">
        <v>55</v>
      </c>
      <c r="C10" s="26">
        <v>14489</v>
      </c>
      <c r="D10" s="26">
        <v>6210</v>
      </c>
      <c r="E10" s="26">
        <v>20699</v>
      </c>
      <c r="F10" s="19">
        <v>2.1415764212425675E-2</v>
      </c>
    </row>
    <row r="11" spans="1:6" ht="16.05" customHeight="1">
      <c r="A11" s="17">
        <v>7</v>
      </c>
      <c r="B11" s="36" t="s">
        <v>56</v>
      </c>
      <c r="C11" s="25">
        <v>18757</v>
      </c>
      <c r="D11" s="25">
        <v>1588</v>
      </c>
      <c r="E11" s="25">
        <v>20345</v>
      </c>
      <c r="F11" s="20">
        <v>2.1049505913416124E-2</v>
      </c>
    </row>
    <row r="12" spans="1:6" ht="16.05" customHeight="1">
      <c r="A12" s="18">
        <v>8</v>
      </c>
      <c r="B12" s="37" t="s">
        <v>57</v>
      </c>
      <c r="C12" s="26">
        <v>16985</v>
      </c>
      <c r="D12" s="26">
        <v>3765</v>
      </c>
      <c r="E12" s="26">
        <v>20750</v>
      </c>
      <c r="F12" s="19">
        <v>2.1468530238554169E-2</v>
      </c>
    </row>
    <row r="13" spans="1:6" ht="16.05" customHeight="1">
      <c r="A13" s="17">
        <v>9</v>
      </c>
      <c r="B13" s="36" t="s">
        <v>58</v>
      </c>
      <c r="C13" s="25">
        <v>2664</v>
      </c>
      <c r="D13" s="25">
        <v>934</v>
      </c>
      <c r="E13" s="25">
        <v>3598</v>
      </c>
      <c r="F13" s="20">
        <v>3.7225914119671279E-3</v>
      </c>
    </row>
    <row r="14" spans="1:6" ht="16.05" customHeight="1">
      <c r="A14" s="18">
        <v>10</v>
      </c>
      <c r="B14" s="37" t="s">
        <v>59</v>
      </c>
      <c r="C14" s="26">
        <v>9779</v>
      </c>
      <c r="D14" s="26">
        <v>3756</v>
      </c>
      <c r="E14" s="26">
        <v>13535</v>
      </c>
      <c r="F14" s="19">
        <v>1.4003689483317141E-2</v>
      </c>
    </row>
    <row r="15" spans="1:6" ht="16.05" customHeight="1">
      <c r="A15" s="17">
        <v>11</v>
      </c>
      <c r="B15" s="36" t="s">
        <v>60</v>
      </c>
      <c r="C15" s="25">
        <v>13925</v>
      </c>
      <c r="D15" s="25">
        <v>4651</v>
      </c>
      <c r="E15" s="25">
        <v>18576</v>
      </c>
      <c r="F15" s="20">
        <v>1.9219249046331675E-2</v>
      </c>
    </row>
    <row r="16" spans="1:6" ht="16.05" customHeight="1">
      <c r="A16" s="18">
        <v>12</v>
      </c>
      <c r="B16" s="37" t="s">
        <v>61</v>
      </c>
      <c r="C16" s="26">
        <v>47887</v>
      </c>
      <c r="D16" s="26">
        <v>14403</v>
      </c>
      <c r="E16" s="26">
        <v>62290</v>
      </c>
      <c r="F16" s="19">
        <v>6.4446975834194661E-2</v>
      </c>
    </row>
    <row r="17" spans="1:6" ht="20.100000000000001" customHeight="1">
      <c r="A17" s="76" t="s">
        <v>48</v>
      </c>
      <c r="B17" s="77"/>
      <c r="C17" s="29">
        <v>837972</v>
      </c>
      <c r="D17" s="29">
        <v>128559</v>
      </c>
      <c r="E17" s="29">
        <v>966531</v>
      </c>
      <c r="F17" s="31">
        <v>1</v>
      </c>
    </row>
    <row r="18" spans="1:6" ht="29.55" customHeight="1">
      <c r="A18" s="84" t="s">
        <v>109</v>
      </c>
      <c r="B18" s="85"/>
      <c r="C18" s="85"/>
      <c r="D18" s="85"/>
      <c r="E18" s="78" t="s">
        <v>24</v>
      </c>
      <c r="F18" s="79"/>
    </row>
    <row r="19" spans="1:6">
      <c r="E19" s="6"/>
    </row>
    <row r="20" spans="1:6">
      <c r="B20" s="8"/>
      <c r="C20" s="8"/>
      <c r="D20" s="8"/>
      <c r="E20" s="8"/>
      <c r="F20" s="8"/>
    </row>
    <row r="21" spans="1:6">
      <c r="B21" s="8"/>
      <c r="C21" s="8"/>
      <c r="D21" s="8"/>
      <c r="E21" s="8"/>
      <c r="F21" s="8"/>
    </row>
  </sheetData>
  <mergeCells count="5">
    <mergeCell ref="A2:F2"/>
    <mergeCell ref="A4:B4"/>
    <mergeCell ref="A17:B17"/>
    <mergeCell ref="A18:D18"/>
    <mergeCell ref="E18:F18"/>
  </mergeCells>
  <hyperlinks>
    <hyperlink ref="E18" location="'Content'!A1" display="العودة للقائمة الرئيسية" xr:uid="{767204A6-E319-4440-81F2-3036996F9A16}"/>
  </hyperlinks>
  <pageMargins left="0.7" right="0.7" top="0.75" bottom="0.75" header="0.3" footer="0.3"/>
  <pageSetup scale="7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D1D1-1E62-47DC-AA66-02140940E306}">
  <sheetPr>
    <tabColor rgb="FFFFC000"/>
  </sheetPr>
  <dimension ref="A1:D13"/>
  <sheetViews>
    <sheetView topLeftCell="D1" workbookViewId="0">
      <selection activeCell="C29" sqref="C29"/>
    </sheetView>
  </sheetViews>
  <sheetFormatPr defaultColWidth="35.33203125" defaultRowHeight="14.4"/>
  <cols>
    <col min="1" max="1" width="48.77734375" bestFit="1" customWidth="1"/>
    <col min="2" max="2" width="17.109375" customWidth="1"/>
  </cols>
  <sheetData>
    <row r="1" spans="1:4">
      <c r="A1" s="64" t="s">
        <v>169</v>
      </c>
      <c r="B1" s="64" t="s">
        <v>166</v>
      </c>
      <c r="C1" s="64" t="s">
        <v>167</v>
      </c>
      <c r="D1" s="64" t="s">
        <v>168</v>
      </c>
    </row>
    <row r="2" spans="1:4">
      <c r="A2" s="64" t="s">
        <v>50</v>
      </c>
      <c r="B2" s="64">
        <v>51250</v>
      </c>
      <c r="C2" s="72">
        <v>131914</v>
      </c>
      <c r="D2" s="61">
        <f>B2/C2</f>
        <v>0.38851069636278179</v>
      </c>
    </row>
    <row r="3" spans="1:4">
      <c r="A3" s="64" t="s">
        <v>51</v>
      </c>
      <c r="B3" s="64">
        <v>116274</v>
      </c>
      <c r="C3" s="72">
        <v>637891</v>
      </c>
      <c r="D3" s="61">
        <f t="shared" ref="D3:D13" si="0">B3/C3</f>
        <v>0.18227879057707352</v>
      </c>
    </row>
    <row r="4" spans="1:4">
      <c r="A4" s="64" t="s">
        <v>52</v>
      </c>
      <c r="B4" s="64">
        <v>3706</v>
      </c>
      <c r="C4" s="72">
        <v>4297</v>
      </c>
      <c r="D4" s="61">
        <f t="shared" si="0"/>
        <v>0.86246218291831511</v>
      </c>
    </row>
    <row r="5" spans="1:4">
      <c r="A5" s="64" t="s">
        <v>53</v>
      </c>
      <c r="B5" s="64">
        <v>6586</v>
      </c>
      <c r="C5" s="72">
        <v>31046</v>
      </c>
      <c r="D5" s="61">
        <f t="shared" si="0"/>
        <v>0.2121368292211557</v>
      </c>
    </row>
    <row r="6" spans="1:4">
      <c r="A6" s="64" t="s">
        <v>54</v>
      </c>
      <c r="B6" s="64">
        <v>622</v>
      </c>
      <c r="C6" s="72">
        <v>1590</v>
      </c>
      <c r="D6" s="61">
        <f t="shared" si="0"/>
        <v>0.39119496855345914</v>
      </c>
    </row>
    <row r="7" spans="1:4">
      <c r="A7" s="64" t="s">
        <v>55</v>
      </c>
      <c r="B7" s="64">
        <v>13329</v>
      </c>
      <c r="C7" s="72">
        <v>20699</v>
      </c>
      <c r="D7" s="61">
        <f t="shared" si="0"/>
        <v>0.64394415189139576</v>
      </c>
    </row>
    <row r="8" spans="1:4">
      <c r="A8" s="64" t="s">
        <v>56</v>
      </c>
      <c r="B8" s="64">
        <v>8576</v>
      </c>
      <c r="C8" s="72">
        <v>20345</v>
      </c>
      <c r="D8" s="61">
        <f t="shared" si="0"/>
        <v>0.42152863111329564</v>
      </c>
    </row>
    <row r="9" spans="1:4">
      <c r="A9" s="64" t="s">
        <v>57</v>
      </c>
      <c r="B9" s="64">
        <v>7191</v>
      </c>
      <c r="C9" s="72">
        <v>20750</v>
      </c>
      <c r="D9" s="61">
        <f t="shared" si="0"/>
        <v>0.3465542168674699</v>
      </c>
    </row>
    <row r="10" spans="1:4">
      <c r="A10" s="64" t="s">
        <v>58</v>
      </c>
      <c r="B10" s="64">
        <v>1998</v>
      </c>
      <c r="C10" s="72">
        <v>3598</v>
      </c>
      <c r="D10" s="61">
        <f t="shared" si="0"/>
        <v>0.55530850472484716</v>
      </c>
    </row>
    <row r="11" spans="1:4">
      <c r="A11" s="64" t="s">
        <v>59</v>
      </c>
      <c r="B11" s="64">
        <v>5163</v>
      </c>
      <c r="C11" s="72">
        <v>13535</v>
      </c>
      <c r="D11" s="61">
        <f t="shared" si="0"/>
        <v>0.38145548577761357</v>
      </c>
    </row>
    <row r="12" spans="1:4">
      <c r="A12" s="64" t="s">
        <v>60</v>
      </c>
      <c r="B12" s="64">
        <v>8471</v>
      </c>
      <c r="C12" s="72">
        <v>18576</v>
      </c>
      <c r="D12" s="61">
        <f t="shared" si="0"/>
        <v>0.45601851851851855</v>
      </c>
    </row>
    <row r="13" spans="1:4">
      <c r="A13" s="64" t="s">
        <v>61</v>
      </c>
      <c r="B13" s="64">
        <v>18907</v>
      </c>
      <c r="C13" s="72">
        <v>62290</v>
      </c>
      <c r="D13" s="61">
        <f t="shared" si="0"/>
        <v>0.30353186707336649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FE1CE-659E-44C6-9101-04B62311A5D0}">
  <sheetPr>
    <tabColor theme="3" tint="0.39997558519241921"/>
  </sheetPr>
  <dimension ref="A1:F19"/>
  <sheetViews>
    <sheetView showGridLines="0" view="pageBreakPreview" zoomScaleNormal="100" zoomScaleSheetLayoutView="100" workbookViewId="0">
      <selection activeCell="H22" sqref="H22"/>
    </sheetView>
  </sheetViews>
  <sheetFormatPr defaultColWidth="8.77734375" defaultRowHeight="14.4"/>
  <cols>
    <col min="1" max="1" width="7.44140625" customWidth="1"/>
    <col min="2" max="2" width="23.77734375" customWidth="1"/>
    <col min="3" max="5" width="15.44140625" customWidth="1"/>
    <col min="6" max="6" width="15.109375" customWidth="1"/>
  </cols>
  <sheetData>
    <row r="1" spans="1:6" ht="43.95" customHeight="1"/>
    <row r="2" spans="1:6" ht="46.05" customHeight="1">
      <c r="A2" s="83" t="s">
        <v>86</v>
      </c>
      <c r="B2" s="83"/>
      <c r="C2" s="83"/>
      <c r="D2" s="83"/>
      <c r="E2" s="83"/>
      <c r="F2" s="83"/>
    </row>
    <row r="3" spans="1:6">
      <c r="A3" s="14" t="s">
        <v>87</v>
      </c>
    </row>
    <row r="4" spans="1:6" ht="35.1" customHeight="1">
      <c r="A4" s="91" t="s">
        <v>71</v>
      </c>
      <c r="B4" s="92"/>
      <c r="C4" s="15" t="s">
        <v>46</v>
      </c>
      <c r="D4" s="15" t="s">
        <v>47</v>
      </c>
      <c r="E4" s="15" t="s">
        <v>48</v>
      </c>
      <c r="F4" s="24" t="s">
        <v>88</v>
      </c>
    </row>
    <row r="5" spans="1:6" ht="16.05" customHeight="1">
      <c r="A5" s="17">
        <v>1</v>
      </c>
      <c r="B5" s="36" t="s">
        <v>73</v>
      </c>
      <c r="C5" s="25">
        <v>218235</v>
      </c>
      <c r="D5" s="25">
        <v>6557</v>
      </c>
      <c r="E5" s="25">
        <v>224792</v>
      </c>
      <c r="F5" s="20">
        <v>0.70112314693232114</v>
      </c>
    </row>
    <row r="6" spans="1:6" ht="16.05" customHeight="1">
      <c r="A6" s="18">
        <v>2</v>
      </c>
      <c r="B6" s="37" t="s">
        <v>74</v>
      </c>
      <c r="C6" s="26">
        <v>189264</v>
      </c>
      <c r="D6" s="26">
        <v>7646</v>
      </c>
      <c r="E6" s="26">
        <v>196910</v>
      </c>
      <c r="F6" s="19">
        <v>0.73213263234605175</v>
      </c>
    </row>
    <row r="7" spans="1:6" ht="16.05" customHeight="1">
      <c r="A7" s="17">
        <v>3</v>
      </c>
      <c r="B7" s="36" t="s">
        <v>75</v>
      </c>
      <c r="C7" s="25">
        <v>110717</v>
      </c>
      <c r="D7" s="25">
        <v>1408</v>
      </c>
      <c r="E7" s="25">
        <v>112125</v>
      </c>
      <c r="F7" s="20">
        <v>0.76326394467059677</v>
      </c>
    </row>
    <row r="8" spans="1:6" ht="16.05" customHeight="1">
      <c r="A8" s="18">
        <v>4</v>
      </c>
      <c r="B8" s="37" t="s">
        <v>76</v>
      </c>
      <c r="C8" s="26">
        <v>43751</v>
      </c>
      <c r="D8" s="26">
        <v>565</v>
      </c>
      <c r="E8" s="26">
        <v>44316</v>
      </c>
      <c r="F8" s="19">
        <v>0.77750096494613841</v>
      </c>
    </row>
    <row r="9" spans="1:6" ht="16.05" customHeight="1">
      <c r="A9" s="17">
        <v>5</v>
      </c>
      <c r="B9" s="36" t="s">
        <v>77</v>
      </c>
      <c r="C9" s="25">
        <v>38625</v>
      </c>
      <c r="D9" s="25">
        <v>357</v>
      </c>
      <c r="E9" s="25">
        <v>38982</v>
      </c>
      <c r="F9" s="20">
        <v>0.83792614247022912</v>
      </c>
    </row>
    <row r="10" spans="1:6" ht="16.05" customHeight="1">
      <c r="A10" s="18">
        <v>6</v>
      </c>
      <c r="B10" s="37" t="s">
        <v>78</v>
      </c>
      <c r="C10" s="26">
        <v>23812</v>
      </c>
      <c r="D10" s="26">
        <v>191</v>
      </c>
      <c r="E10" s="26">
        <v>24003</v>
      </c>
      <c r="F10" s="19">
        <v>0.87210696508374819</v>
      </c>
    </row>
    <row r="11" spans="1:6" ht="16.05" customHeight="1">
      <c r="A11" s="17">
        <v>7</v>
      </c>
      <c r="B11" s="36" t="s">
        <v>79</v>
      </c>
      <c r="C11" s="25">
        <v>26386</v>
      </c>
      <c r="D11" s="25">
        <v>162</v>
      </c>
      <c r="E11" s="25">
        <v>26548</v>
      </c>
      <c r="F11" s="20">
        <v>0.82480504551527012</v>
      </c>
    </row>
    <row r="12" spans="1:6" ht="16.05" customHeight="1">
      <c r="A12" s="18">
        <v>8</v>
      </c>
      <c r="B12" s="37" t="s">
        <v>80</v>
      </c>
      <c r="C12" s="26">
        <v>17452</v>
      </c>
      <c r="D12" s="26">
        <v>397</v>
      </c>
      <c r="E12" s="26">
        <v>17849</v>
      </c>
      <c r="F12" s="19">
        <v>0.82565454713664543</v>
      </c>
    </row>
    <row r="13" spans="1:6" ht="16.05" customHeight="1">
      <c r="A13" s="17">
        <v>9</v>
      </c>
      <c r="B13" s="36" t="s">
        <v>81</v>
      </c>
      <c r="C13" s="25">
        <v>10514</v>
      </c>
      <c r="D13" s="25">
        <v>118</v>
      </c>
      <c r="E13" s="25">
        <v>10632</v>
      </c>
      <c r="F13" s="20">
        <v>0.85212791536427024</v>
      </c>
    </row>
    <row r="14" spans="1:6" ht="16.05" customHeight="1">
      <c r="A14" s="18">
        <v>10</v>
      </c>
      <c r="B14" s="37" t="s">
        <v>82</v>
      </c>
      <c r="C14" s="26">
        <v>6793</v>
      </c>
      <c r="D14" s="26">
        <v>81</v>
      </c>
      <c r="E14" s="26">
        <v>6874</v>
      </c>
      <c r="F14" s="19">
        <v>0.85678673812788231</v>
      </c>
    </row>
    <row r="15" spans="1:6" ht="16.05" customHeight="1">
      <c r="A15" s="17">
        <v>11</v>
      </c>
      <c r="B15" s="36" t="s">
        <v>83</v>
      </c>
      <c r="C15" s="25">
        <v>9027</v>
      </c>
      <c r="D15" s="25">
        <v>133</v>
      </c>
      <c r="E15" s="25">
        <v>9160</v>
      </c>
      <c r="F15" s="20">
        <v>0.87916306747288608</v>
      </c>
    </row>
    <row r="16" spans="1:6" ht="16.05" customHeight="1">
      <c r="A16" s="18">
        <v>12</v>
      </c>
      <c r="B16" s="37" t="s">
        <v>84</v>
      </c>
      <c r="C16" s="26">
        <v>6288</v>
      </c>
      <c r="D16" s="26">
        <v>77</v>
      </c>
      <c r="E16" s="26">
        <v>6365</v>
      </c>
      <c r="F16" s="19">
        <v>0.8776889134031991</v>
      </c>
    </row>
    <row r="17" spans="1:6" ht="16.05" customHeight="1">
      <c r="A17" s="17">
        <v>13</v>
      </c>
      <c r="B17" s="36" t="s">
        <v>85</v>
      </c>
      <c r="C17" s="25">
        <v>5861</v>
      </c>
      <c r="D17" s="25">
        <v>41</v>
      </c>
      <c r="E17" s="25">
        <v>5902</v>
      </c>
      <c r="F17" s="20">
        <v>0.83847137377468395</v>
      </c>
    </row>
    <row r="18" spans="1:6" ht="20.100000000000001" customHeight="1">
      <c r="A18" s="93" t="s">
        <v>48</v>
      </c>
      <c r="B18" s="94"/>
      <c r="C18" s="29">
        <v>706725</v>
      </c>
      <c r="D18" s="29">
        <v>17733</v>
      </c>
      <c r="E18" s="29">
        <v>724458</v>
      </c>
      <c r="F18" s="31">
        <v>0.74954450503915548</v>
      </c>
    </row>
    <row r="19" spans="1:6" ht="23.1" customHeight="1">
      <c r="A19" s="84" t="s">
        <v>109</v>
      </c>
      <c r="B19" s="85"/>
      <c r="C19" s="85"/>
      <c r="D19" s="85"/>
      <c r="E19" s="78" t="s">
        <v>24</v>
      </c>
      <c r="F19" s="79"/>
    </row>
  </sheetData>
  <mergeCells count="5">
    <mergeCell ref="A4:B4"/>
    <mergeCell ref="A18:B18"/>
    <mergeCell ref="A2:F2"/>
    <mergeCell ref="A19:D19"/>
    <mergeCell ref="E19:F19"/>
  </mergeCells>
  <hyperlinks>
    <hyperlink ref="E19" location="'Content'!A1" display="العودة للقائمة الرئيسية" xr:uid="{9D8F0ECD-ED38-4187-B413-2AE972470905}"/>
  </hyperlinks>
  <pageMargins left="0.7" right="0.7" top="0.75" bottom="0.75" header="0.3" footer="0.3"/>
  <pageSetup scale="8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960BD-CE57-4532-A4D6-D9D612016B72}">
  <sheetPr>
    <tabColor theme="3" tint="0.39997558519241921"/>
  </sheetPr>
  <dimension ref="A1:F19"/>
  <sheetViews>
    <sheetView showGridLines="0" view="pageBreakPreview" zoomScaleNormal="100" zoomScaleSheetLayoutView="100" workbookViewId="0">
      <selection activeCell="B5" sqref="B5:B17"/>
    </sheetView>
  </sheetViews>
  <sheetFormatPr defaultColWidth="8.77734375" defaultRowHeight="14.4"/>
  <cols>
    <col min="1" max="1" width="7.44140625" customWidth="1"/>
    <col min="2" max="2" width="23.77734375" customWidth="1"/>
    <col min="3" max="5" width="15.44140625" customWidth="1"/>
    <col min="6" max="6" width="14.77734375" customWidth="1"/>
  </cols>
  <sheetData>
    <row r="1" spans="1:6" ht="44.1" customHeight="1"/>
    <row r="2" spans="1:6" ht="46.05" customHeight="1">
      <c r="A2" s="95" t="s">
        <v>146</v>
      </c>
      <c r="B2" s="83"/>
      <c r="C2" s="83"/>
      <c r="D2" s="83"/>
      <c r="E2" s="83"/>
      <c r="F2" s="83"/>
    </row>
    <row r="3" spans="1:6">
      <c r="A3" s="14" t="s">
        <v>70</v>
      </c>
    </row>
    <row r="4" spans="1:6" ht="35.1" customHeight="1">
      <c r="A4" s="91" t="s">
        <v>71</v>
      </c>
      <c r="B4" s="92"/>
      <c r="C4" s="15" t="s">
        <v>46</v>
      </c>
      <c r="D4" s="15" t="s">
        <v>47</v>
      </c>
      <c r="E4" s="15" t="s">
        <v>48</v>
      </c>
      <c r="F4" s="24" t="s">
        <v>72</v>
      </c>
    </row>
    <row r="5" spans="1:6" ht="16.05" customHeight="1">
      <c r="A5" s="17">
        <v>1</v>
      </c>
      <c r="B5" s="36" t="s">
        <v>73</v>
      </c>
      <c r="C5" s="25">
        <v>51056</v>
      </c>
      <c r="D5" s="25">
        <v>44769</v>
      </c>
      <c r="E5" s="25">
        <v>95825</v>
      </c>
      <c r="F5" s="20">
        <v>0.29887685306767886</v>
      </c>
    </row>
    <row r="6" spans="1:6" ht="16.05" customHeight="1">
      <c r="A6" s="18">
        <v>2</v>
      </c>
      <c r="B6" s="37" t="s">
        <v>74</v>
      </c>
      <c r="C6" s="26">
        <v>42431</v>
      </c>
      <c r="D6" s="26">
        <v>29613</v>
      </c>
      <c r="E6" s="26">
        <v>72044</v>
      </c>
      <c r="F6" s="19">
        <v>0.26786736765394825</v>
      </c>
    </row>
    <row r="7" spans="1:6" ht="16.05" customHeight="1">
      <c r="A7" s="17">
        <v>3</v>
      </c>
      <c r="B7" s="36" t="s">
        <v>75</v>
      </c>
      <c r="C7" s="25">
        <v>16835</v>
      </c>
      <c r="D7" s="25">
        <v>17942</v>
      </c>
      <c r="E7" s="25">
        <v>34777</v>
      </c>
      <c r="F7" s="20">
        <v>0.23673605532940328</v>
      </c>
    </row>
    <row r="8" spans="1:6" ht="16.05" customHeight="1">
      <c r="A8" s="18">
        <v>4</v>
      </c>
      <c r="B8" s="37" t="s">
        <v>76</v>
      </c>
      <c r="C8" s="26">
        <v>7357</v>
      </c>
      <c r="D8" s="26">
        <v>5325</v>
      </c>
      <c r="E8" s="26">
        <v>12682</v>
      </c>
      <c r="F8" s="19">
        <v>0.22249903505386154</v>
      </c>
    </row>
    <row r="9" spans="1:6" ht="16.05" customHeight="1">
      <c r="A9" s="17">
        <v>5</v>
      </c>
      <c r="B9" s="36" t="s">
        <v>77</v>
      </c>
      <c r="C9" s="25">
        <v>3771</v>
      </c>
      <c r="D9" s="25">
        <v>3769</v>
      </c>
      <c r="E9" s="25">
        <v>7540</v>
      </c>
      <c r="F9" s="20">
        <v>0.16207385752977085</v>
      </c>
    </row>
    <row r="10" spans="1:6" ht="16.05" customHeight="1">
      <c r="A10" s="18">
        <v>6</v>
      </c>
      <c r="B10" s="37" t="s">
        <v>78</v>
      </c>
      <c r="C10" s="26">
        <v>1667</v>
      </c>
      <c r="D10" s="26">
        <v>1853</v>
      </c>
      <c r="E10" s="26">
        <v>3520</v>
      </c>
      <c r="F10" s="19">
        <v>0.12789303491625187</v>
      </c>
    </row>
    <row r="11" spans="1:6" ht="16.05" customHeight="1">
      <c r="A11" s="17">
        <v>7</v>
      </c>
      <c r="B11" s="36" t="s">
        <v>79</v>
      </c>
      <c r="C11" s="25">
        <v>3165</v>
      </c>
      <c r="D11" s="25">
        <v>2474</v>
      </c>
      <c r="E11" s="25">
        <v>5639</v>
      </c>
      <c r="F11" s="20">
        <v>0.17519495448472985</v>
      </c>
    </row>
    <row r="12" spans="1:6" ht="16.05" customHeight="1">
      <c r="A12" s="18">
        <v>8</v>
      </c>
      <c r="B12" s="37" t="s">
        <v>80</v>
      </c>
      <c r="C12" s="26">
        <v>1744</v>
      </c>
      <c r="D12" s="26">
        <v>2025</v>
      </c>
      <c r="E12" s="26">
        <v>3769</v>
      </c>
      <c r="F12" s="19">
        <v>0.17434545286335462</v>
      </c>
    </row>
    <row r="13" spans="1:6" ht="16.05" customHeight="1">
      <c r="A13" s="17">
        <v>9</v>
      </c>
      <c r="B13" s="36" t="s">
        <v>81</v>
      </c>
      <c r="C13" s="25">
        <v>939</v>
      </c>
      <c r="D13" s="25">
        <v>906</v>
      </c>
      <c r="E13" s="25">
        <v>1845</v>
      </c>
      <c r="F13" s="20">
        <v>0.14787208463572973</v>
      </c>
    </row>
    <row r="14" spans="1:6" ht="16.05" customHeight="1">
      <c r="A14" s="18">
        <v>10</v>
      </c>
      <c r="B14" s="37" t="s">
        <v>82</v>
      </c>
      <c r="C14" s="26">
        <v>639</v>
      </c>
      <c r="D14" s="26">
        <v>510</v>
      </c>
      <c r="E14" s="26">
        <v>1149</v>
      </c>
      <c r="F14" s="19">
        <v>0.14321326187211766</v>
      </c>
    </row>
    <row r="15" spans="1:6" ht="16.05" customHeight="1">
      <c r="A15" s="17">
        <v>11</v>
      </c>
      <c r="B15" s="36" t="s">
        <v>83</v>
      </c>
      <c r="C15" s="25">
        <v>527</v>
      </c>
      <c r="D15" s="25">
        <v>732</v>
      </c>
      <c r="E15" s="25">
        <v>1259</v>
      </c>
      <c r="F15" s="20">
        <v>0.12083693252711393</v>
      </c>
    </row>
    <row r="16" spans="1:6" ht="16.05" customHeight="1">
      <c r="A16" s="18">
        <v>12</v>
      </c>
      <c r="B16" s="37" t="s">
        <v>84</v>
      </c>
      <c r="C16" s="26">
        <v>454</v>
      </c>
      <c r="D16" s="26">
        <v>433</v>
      </c>
      <c r="E16" s="26">
        <v>887</v>
      </c>
      <c r="F16" s="19">
        <v>0.12231108659680089</v>
      </c>
    </row>
    <row r="17" spans="1:6" ht="16.05" customHeight="1">
      <c r="A17" s="17">
        <v>13</v>
      </c>
      <c r="B17" s="36" t="s">
        <v>85</v>
      </c>
      <c r="C17" s="25">
        <v>662</v>
      </c>
      <c r="D17" s="25">
        <v>475</v>
      </c>
      <c r="E17" s="25">
        <v>1137</v>
      </c>
      <c r="F17" s="20">
        <v>0.16152862622531611</v>
      </c>
    </row>
    <row r="18" spans="1:6" ht="20.100000000000001" customHeight="1">
      <c r="A18" s="93" t="s">
        <v>48</v>
      </c>
      <c r="B18" s="94"/>
      <c r="C18" s="29">
        <v>131247</v>
      </c>
      <c r="D18" s="29">
        <v>110826</v>
      </c>
      <c r="E18" s="29">
        <v>242073</v>
      </c>
      <c r="F18" s="30">
        <v>0.25045549496084452</v>
      </c>
    </row>
    <row r="19" spans="1:6" ht="25.05" customHeight="1">
      <c r="A19" s="84" t="s">
        <v>109</v>
      </c>
      <c r="B19" s="85"/>
      <c r="C19" s="85"/>
      <c r="D19" s="85"/>
      <c r="E19" s="78" t="s">
        <v>24</v>
      </c>
      <c r="F19" s="79"/>
    </row>
  </sheetData>
  <mergeCells count="5">
    <mergeCell ref="A4:B4"/>
    <mergeCell ref="A18:B18"/>
    <mergeCell ref="A2:F2"/>
    <mergeCell ref="A19:D19"/>
    <mergeCell ref="E19:F19"/>
  </mergeCells>
  <hyperlinks>
    <hyperlink ref="E19" location="'Content'!A1" display="العودة للقائمة الرئيسية" xr:uid="{088340C2-C22D-4426-8B41-B74BB742FEBE}"/>
  </hyperlinks>
  <pageMargins left="0.7" right="0.7" top="0.75" bottom="0.75" header="0.3" footer="0.3"/>
  <pageSetup scale="9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E3AC-C8C7-47B5-898B-F5E58D828A2F}">
  <sheetPr>
    <tabColor theme="3" tint="0.39997558519241921"/>
  </sheetPr>
  <dimension ref="A1:F19"/>
  <sheetViews>
    <sheetView showGridLines="0" view="pageBreakPreview" zoomScaleNormal="100" zoomScaleSheetLayoutView="100" workbookViewId="0">
      <selection activeCell="B5" sqref="B5:B17"/>
    </sheetView>
  </sheetViews>
  <sheetFormatPr defaultColWidth="8.77734375" defaultRowHeight="14.4"/>
  <cols>
    <col min="1" max="1" width="7.44140625" customWidth="1"/>
    <col min="2" max="2" width="23.77734375" customWidth="1"/>
    <col min="3" max="5" width="15.44140625" customWidth="1"/>
    <col min="6" max="6" width="20.77734375" customWidth="1"/>
  </cols>
  <sheetData>
    <row r="1" spans="1:6" ht="42" customHeight="1"/>
    <row r="2" spans="1:6" ht="46.05" customHeight="1">
      <c r="A2" s="95" t="s">
        <v>89</v>
      </c>
      <c r="B2" s="95"/>
      <c r="C2" s="95"/>
      <c r="D2" s="95"/>
      <c r="E2" s="95"/>
      <c r="F2" s="95"/>
    </row>
    <row r="3" spans="1:6">
      <c r="A3" s="14" t="s">
        <v>90</v>
      </c>
    </row>
    <row r="4" spans="1:6" ht="35.1" customHeight="1">
      <c r="A4" s="91" t="s">
        <v>71</v>
      </c>
      <c r="B4" s="92"/>
      <c r="C4" s="15" t="s">
        <v>46</v>
      </c>
      <c r="D4" s="15" t="s">
        <v>47</v>
      </c>
      <c r="E4" s="15" t="s">
        <v>48</v>
      </c>
      <c r="F4" s="24" t="s">
        <v>91</v>
      </c>
    </row>
    <row r="5" spans="1:6" ht="16.05" customHeight="1">
      <c r="A5" s="17">
        <v>1</v>
      </c>
      <c r="B5" s="36" t="s">
        <v>73</v>
      </c>
      <c r="C5" s="25">
        <v>269291</v>
      </c>
      <c r="D5" s="25">
        <v>51326</v>
      </c>
      <c r="E5" s="25">
        <v>320617</v>
      </c>
      <c r="F5" s="20">
        <v>0.33171931371057939</v>
      </c>
    </row>
    <row r="6" spans="1:6" ht="16.05" customHeight="1">
      <c r="A6" s="18">
        <v>2</v>
      </c>
      <c r="B6" s="37" t="s">
        <v>74</v>
      </c>
      <c r="C6" s="26">
        <v>231695</v>
      </c>
      <c r="D6" s="26">
        <v>37259</v>
      </c>
      <c r="E6" s="26">
        <v>268954</v>
      </c>
      <c r="F6" s="19">
        <v>0.27826732924241437</v>
      </c>
    </row>
    <row r="7" spans="1:6" ht="16.05" customHeight="1">
      <c r="A7" s="17">
        <v>3</v>
      </c>
      <c r="B7" s="36" t="s">
        <v>75</v>
      </c>
      <c r="C7" s="25">
        <v>127552</v>
      </c>
      <c r="D7" s="25">
        <v>19350</v>
      </c>
      <c r="E7" s="25">
        <v>146902</v>
      </c>
      <c r="F7" s="20">
        <v>0.15198891706525708</v>
      </c>
    </row>
    <row r="8" spans="1:6" ht="16.05" customHeight="1">
      <c r="A8" s="18">
        <v>4</v>
      </c>
      <c r="B8" s="37" t="s">
        <v>76</v>
      </c>
      <c r="C8" s="26">
        <v>51108</v>
      </c>
      <c r="D8" s="26">
        <v>5890</v>
      </c>
      <c r="E8" s="26">
        <v>56998</v>
      </c>
      <c r="F8" s="19">
        <v>5.8971724652390867E-2</v>
      </c>
    </row>
    <row r="9" spans="1:6" ht="16.05" customHeight="1">
      <c r="A9" s="17">
        <v>5</v>
      </c>
      <c r="B9" s="36" t="s">
        <v>77</v>
      </c>
      <c r="C9" s="25">
        <v>42396</v>
      </c>
      <c r="D9" s="25">
        <v>4126</v>
      </c>
      <c r="E9" s="25">
        <v>46522</v>
      </c>
      <c r="F9" s="20">
        <v>4.81329621088201E-2</v>
      </c>
    </row>
    <row r="10" spans="1:6" ht="16.05" customHeight="1">
      <c r="A10" s="18">
        <v>6</v>
      </c>
      <c r="B10" s="37" t="s">
        <v>78</v>
      </c>
      <c r="C10" s="26">
        <v>25479</v>
      </c>
      <c r="D10" s="26">
        <v>2044</v>
      </c>
      <c r="E10" s="26">
        <v>27523</v>
      </c>
      <c r="F10" s="19">
        <v>2.8476065434010912E-2</v>
      </c>
    </row>
    <row r="11" spans="1:6" ht="16.05" customHeight="1">
      <c r="A11" s="17">
        <v>7</v>
      </c>
      <c r="B11" s="36" t="s">
        <v>79</v>
      </c>
      <c r="C11" s="25">
        <v>29551</v>
      </c>
      <c r="D11" s="25">
        <v>2636</v>
      </c>
      <c r="E11" s="25">
        <v>32187</v>
      </c>
      <c r="F11" s="20">
        <v>3.3301570254859907E-2</v>
      </c>
    </row>
    <row r="12" spans="1:6" ht="16.05" customHeight="1">
      <c r="A12" s="18">
        <v>8</v>
      </c>
      <c r="B12" s="37" t="s">
        <v>80</v>
      </c>
      <c r="C12" s="26">
        <v>19196</v>
      </c>
      <c r="D12" s="26">
        <v>2422</v>
      </c>
      <c r="E12" s="26">
        <v>21618</v>
      </c>
      <c r="F12" s="19">
        <v>2.2366587310701881E-2</v>
      </c>
    </row>
    <row r="13" spans="1:6" ht="16.05" customHeight="1">
      <c r="A13" s="17">
        <v>9</v>
      </c>
      <c r="B13" s="36" t="s">
        <v>81</v>
      </c>
      <c r="C13" s="25">
        <v>11453</v>
      </c>
      <c r="D13" s="25">
        <v>1024</v>
      </c>
      <c r="E13" s="25">
        <v>12477</v>
      </c>
      <c r="F13" s="20">
        <v>1.2909053098141705E-2</v>
      </c>
    </row>
    <row r="14" spans="1:6" ht="16.05" customHeight="1">
      <c r="A14" s="18">
        <v>10</v>
      </c>
      <c r="B14" s="37" t="s">
        <v>82</v>
      </c>
      <c r="C14" s="26">
        <v>7432</v>
      </c>
      <c r="D14" s="26">
        <v>591</v>
      </c>
      <c r="E14" s="26">
        <v>8023</v>
      </c>
      <c r="F14" s="19">
        <v>8.3008201495865103E-3</v>
      </c>
    </row>
    <row r="15" spans="1:6" ht="16.05" customHeight="1">
      <c r="A15" s="17">
        <v>11</v>
      </c>
      <c r="B15" s="36" t="s">
        <v>83</v>
      </c>
      <c r="C15" s="25">
        <v>9554</v>
      </c>
      <c r="D15" s="25">
        <v>865</v>
      </c>
      <c r="E15" s="25">
        <v>10419</v>
      </c>
      <c r="F15" s="20">
        <v>1.0779788749662452E-2</v>
      </c>
    </row>
    <row r="16" spans="1:6" ht="16.05" customHeight="1">
      <c r="A16" s="18">
        <v>12</v>
      </c>
      <c r="B16" s="37" t="s">
        <v>84</v>
      </c>
      <c r="C16" s="26">
        <v>6742</v>
      </c>
      <c r="D16" s="26">
        <v>510</v>
      </c>
      <c r="E16" s="26">
        <v>7252</v>
      </c>
      <c r="F16" s="19">
        <v>7.5031219898792694E-3</v>
      </c>
    </row>
    <row r="17" spans="1:6" ht="16.05" customHeight="1">
      <c r="A17" s="17">
        <v>13</v>
      </c>
      <c r="B17" s="36" t="s">
        <v>85</v>
      </c>
      <c r="C17" s="25">
        <v>6523</v>
      </c>
      <c r="D17" s="25">
        <v>516</v>
      </c>
      <c r="E17" s="25">
        <v>7039</v>
      </c>
      <c r="F17" s="20">
        <v>7.2827462336955565E-3</v>
      </c>
    </row>
    <row r="18" spans="1:6" ht="20.100000000000001" customHeight="1">
      <c r="A18" s="93" t="s">
        <v>48</v>
      </c>
      <c r="B18" s="94"/>
      <c r="C18" s="29">
        <v>837972</v>
      </c>
      <c r="D18" s="29">
        <v>128559</v>
      </c>
      <c r="E18" s="29">
        <v>966531</v>
      </c>
      <c r="F18" s="31">
        <v>1</v>
      </c>
    </row>
    <row r="19" spans="1:6" ht="24.6" customHeight="1">
      <c r="A19" s="84" t="s">
        <v>109</v>
      </c>
      <c r="B19" s="85"/>
      <c r="C19" s="85"/>
      <c r="D19" s="85"/>
      <c r="E19" s="78" t="s">
        <v>24</v>
      </c>
      <c r="F19" s="79"/>
    </row>
  </sheetData>
  <mergeCells count="5">
    <mergeCell ref="A4:B4"/>
    <mergeCell ref="A18:B18"/>
    <mergeCell ref="A2:F2"/>
    <mergeCell ref="A19:D19"/>
    <mergeCell ref="E19:F19"/>
  </mergeCells>
  <hyperlinks>
    <hyperlink ref="E19" location="'Content'!A1" display="العودة للقائمة الرئيسية" xr:uid="{AE907008-EAB4-468C-9CDE-3FAFE8756B10}"/>
  </hyperlinks>
  <pageMargins left="0.7" right="0.7" top="0.75" bottom="0.75" header="0.3" footer="0.3"/>
  <pageSetup scale="84"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9B8A-2393-4472-AE68-F7D4AC39FA46}">
  <sheetPr>
    <tabColor theme="3" tint="0.39997558519241921"/>
  </sheetPr>
  <dimension ref="A1:Q24"/>
  <sheetViews>
    <sheetView showGridLines="0" view="pageBreakPreview" zoomScaleNormal="100" zoomScaleSheetLayoutView="100" workbookViewId="0">
      <selection activeCell="D21" sqref="D21"/>
    </sheetView>
  </sheetViews>
  <sheetFormatPr defaultRowHeight="14.4"/>
  <cols>
    <col min="1" max="1" width="7.5546875" customWidth="1"/>
    <col min="2" max="2" width="38.88671875" customWidth="1"/>
    <col min="3" max="3" width="15.44140625" customWidth="1"/>
    <col min="4" max="4" width="15.33203125" customWidth="1"/>
    <col min="5" max="5" width="20.109375" customWidth="1"/>
    <col min="6" max="6" width="30.88671875" customWidth="1"/>
    <col min="7" max="7" width="15.44140625" customWidth="1"/>
    <col min="8" max="8" width="16.109375" customWidth="1"/>
    <col min="9" max="9" width="16.77734375" customWidth="1"/>
    <col min="10" max="10" width="30.109375" customWidth="1"/>
    <col min="11" max="12" width="17.77734375" customWidth="1"/>
    <col min="13" max="13" width="13.88671875" customWidth="1"/>
    <col min="14" max="14" width="13.44140625" customWidth="1"/>
  </cols>
  <sheetData>
    <row r="1" spans="1:14" ht="44.55" customHeight="1"/>
    <row r="2" spans="1:14" ht="40.950000000000003" customHeight="1">
      <c r="A2" s="95" t="s">
        <v>132</v>
      </c>
      <c r="B2" s="83"/>
      <c r="C2" s="83"/>
      <c r="D2" s="83"/>
      <c r="E2" s="83"/>
      <c r="F2" s="38"/>
      <c r="G2" s="38"/>
      <c r="H2" s="38"/>
      <c r="I2" s="38"/>
      <c r="J2" s="38"/>
      <c r="K2" s="38"/>
      <c r="L2" s="38"/>
      <c r="M2" s="38"/>
      <c r="N2" s="38"/>
    </row>
    <row r="3" spans="1:14">
      <c r="A3" s="14" t="s">
        <v>110</v>
      </c>
    </row>
    <row r="4" spans="1:14" ht="35.25" customHeight="1">
      <c r="A4" s="91" t="s">
        <v>45</v>
      </c>
      <c r="B4" s="92"/>
      <c r="C4" s="15" t="s">
        <v>142</v>
      </c>
      <c r="D4" s="15" t="s">
        <v>143</v>
      </c>
      <c r="E4" s="15" t="s">
        <v>113</v>
      </c>
    </row>
    <row r="5" spans="1:14" ht="16.05" customHeight="1">
      <c r="A5" s="17">
        <v>1</v>
      </c>
      <c r="B5" s="36" t="s">
        <v>50</v>
      </c>
      <c r="C5" s="25">
        <v>47646</v>
      </c>
      <c r="D5" s="25">
        <v>51250</v>
      </c>
      <c r="E5" s="20">
        <v>7.5641187088108131E-2</v>
      </c>
    </row>
    <row r="6" spans="1:14" ht="16.05" customHeight="1">
      <c r="A6" s="18">
        <v>2</v>
      </c>
      <c r="B6" s="37" t="s">
        <v>51</v>
      </c>
      <c r="C6" s="26">
        <v>122960</v>
      </c>
      <c r="D6" s="26">
        <v>116274</v>
      </c>
      <c r="E6" s="19">
        <v>-5.4375406636304489E-2</v>
      </c>
    </row>
    <row r="7" spans="1:14" ht="16.05" customHeight="1">
      <c r="A7" s="17">
        <v>3</v>
      </c>
      <c r="B7" s="36" t="s">
        <v>52</v>
      </c>
      <c r="C7" s="25">
        <v>3495</v>
      </c>
      <c r="D7" s="25">
        <v>3706</v>
      </c>
      <c r="E7" s="20">
        <v>6.0371959942775395E-2</v>
      </c>
      <c r="F7" s="39"/>
    </row>
    <row r="8" spans="1:14" ht="16.05" customHeight="1">
      <c r="A8" s="18">
        <v>4</v>
      </c>
      <c r="B8" s="37" t="s">
        <v>53</v>
      </c>
      <c r="C8" s="26">
        <v>5816</v>
      </c>
      <c r="D8" s="26">
        <v>6586</v>
      </c>
      <c r="E8" s="19">
        <v>0.13239339752407153</v>
      </c>
      <c r="F8" s="39"/>
    </row>
    <row r="9" spans="1:14" ht="16.05" customHeight="1">
      <c r="A9" s="17">
        <v>5</v>
      </c>
      <c r="B9" s="36" t="s">
        <v>54</v>
      </c>
      <c r="C9" s="25">
        <v>628</v>
      </c>
      <c r="D9" s="25">
        <v>622</v>
      </c>
      <c r="E9" s="20">
        <v>-9.5541401273885346E-3</v>
      </c>
      <c r="F9" s="39"/>
    </row>
    <row r="10" spans="1:14" ht="16.05" customHeight="1">
      <c r="A10" s="18">
        <v>6</v>
      </c>
      <c r="B10" s="37" t="s">
        <v>55</v>
      </c>
      <c r="C10" s="26">
        <v>12313</v>
      </c>
      <c r="D10" s="26">
        <v>13329</v>
      </c>
      <c r="E10" s="19">
        <v>8.2514415658247381E-2</v>
      </c>
      <c r="F10" s="39"/>
    </row>
    <row r="11" spans="1:14" ht="16.05" customHeight="1">
      <c r="A11" s="17">
        <v>7</v>
      </c>
      <c r="B11" s="36" t="s">
        <v>56</v>
      </c>
      <c r="C11" s="25">
        <v>7232</v>
      </c>
      <c r="D11" s="25">
        <v>8576</v>
      </c>
      <c r="E11" s="20">
        <v>0.18584070796460178</v>
      </c>
      <c r="F11" s="39"/>
    </row>
    <row r="12" spans="1:14" ht="16.05" customHeight="1">
      <c r="A12" s="18">
        <v>8</v>
      </c>
      <c r="B12" s="37" t="s">
        <v>57</v>
      </c>
      <c r="C12" s="26">
        <v>10062</v>
      </c>
      <c r="D12" s="26">
        <v>7191</v>
      </c>
      <c r="E12" s="19">
        <v>-0.28533094812164578</v>
      </c>
    </row>
    <row r="13" spans="1:14" ht="16.05" customHeight="1">
      <c r="A13" s="17">
        <v>9</v>
      </c>
      <c r="B13" s="36" t="s">
        <v>58</v>
      </c>
      <c r="C13" s="25">
        <v>2235</v>
      </c>
      <c r="D13" s="25">
        <v>1998</v>
      </c>
      <c r="E13" s="20">
        <v>-0.10604026845637583</v>
      </c>
    </row>
    <row r="14" spans="1:14" ht="16.05" customHeight="1">
      <c r="A14" s="18">
        <v>10</v>
      </c>
      <c r="B14" s="37" t="s">
        <v>59</v>
      </c>
      <c r="C14" s="26">
        <v>5432</v>
      </c>
      <c r="D14" s="26">
        <v>5163</v>
      </c>
      <c r="E14" s="19">
        <v>-4.9521354933726065E-2</v>
      </c>
    </row>
    <row r="15" spans="1:14" ht="16.05" customHeight="1">
      <c r="A15" s="17">
        <v>11</v>
      </c>
      <c r="B15" s="36" t="s">
        <v>60</v>
      </c>
      <c r="C15" s="25">
        <v>7623</v>
      </c>
      <c r="D15" s="25">
        <v>8471</v>
      </c>
      <c r="E15" s="20">
        <v>0.11124229306047488</v>
      </c>
    </row>
    <row r="16" spans="1:14" ht="16.05" customHeight="1">
      <c r="A16" s="18">
        <v>12</v>
      </c>
      <c r="B16" s="37" t="s">
        <v>61</v>
      </c>
      <c r="C16" s="26">
        <v>19456</v>
      </c>
      <c r="D16" s="26">
        <v>18907</v>
      </c>
      <c r="E16" s="19">
        <v>-2.8217516447368422E-2</v>
      </c>
    </row>
    <row r="17" spans="1:17" ht="20.25" customHeight="1">
      <c r="A17" s="93" t="s">
        <v>48</v>
      </c>
      <c r="B17" s="94"/>
      <c r="C17" s="29">
        <v>244898</v>
      </c>
      <c r="D17" s="29">
        <v>242073</v>
      </c>
      <c r="E17" s="31">
        <v>-1.1535414744097543E-2</v>
      </c>
    </row>
    <row r="18" spans="1:17" ht="13.95" customHeight="1">
      <c r="A18" s="80" t="s">
        <v>114</v>
      </c>
      <c r="B18" s="81"/>
      <c r="C18" s="81"/>
      <c r="D18" s="78" t="s">
        <v>115</v>
      </c>
      <c r="E18" s="79"/>
    </row>
    <row r="19" spans="1:17" ht="13.95" customHeight="1">
      <c r="A19" s="96"/>
      <c r="B19" s="97"/>
      <c r="C19" s="97"/>
      <c r="D19" s="40"/>
      <c r="E19" s="41"/>
    </row>
    <row r="20" spans="1:17">
      <c r="A20" s="41"/>
      <c r="B20" s="41"/>
      <c r="C20" s="41"/>
      <c r="D20" s="41"/>
      <c r="E20" s="41"/>
    </row>
    <row r="21" spans="1:17">
      <c r="N21" s="8"/>
      <c r="O21" s="8"/>
      <c r="P21" s="8"/>
      <c r="Q21" s="8"/>
    </row>
    <row r="22" spans="1:17">
      <c r="L22" s="8"/>
      <c r="M22" s="42"/>
      <c r="N22" s="42"/>
      <c r="O22" s="8"/>
      <c r="P22" s="8"/>
      <c r="Q22" s="8"/>
    </row>
    <row r="23" spans="1:17">
      <c r="L23" s="8"/>
      <c r="M23" s="8"/>
      <c r="N23" s="8"/>
      <c r="O23" s="8"/>
      <c r="P23" s="8"/>
      <c r="Q23" s="8"/>
    </row>
    <row r="24" spans="1:17">
      <c r="L24" s="8"/>
      <c r="M24" s="8"/>
      <c r="N24" s="8"/>
      <c r="O24" s="8"/>
      <c r="P24" s="8"/>
      <c r="Q24" s="8"/>
    </row>
  </sheetData>
  <mergeCells count="5">
    <mergeCell ref="A2:E2"/>
    <mergeCell ref="A4:B4"/>
    <mergeCell ref="A17:B17"/>
    <mergeCell ref="A18:C19"/>
    <mergeCell ref="D18:E18"/>
  </mergeCells>
  <hyperlinks>
    <hyperlink ref="D18" location="'Main menu'!A1" display="Back to main menu" xr:uid="{E4ECE06B-31A0-4356-9466-498F9F8D6669}"/>
    <hyperlink ref="D18:E18" location="'Main Menu'!A1" display="Back to main menu" xr:uid="{4D40E105-58AB-4E78-A6E1-A38C68980415}"/>
  </hyperlinks>
  <pageMargins left="0.7" right="0.7" top="0.75" bottom="0.75" header="0.3" footer="0.3"/>
  <pageSetup scale="76"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1AB4-D7AA-4194-99A1-1D28DF63CA7F}">
  <sheetPr>
    <tabColor theme="3" tint="0.39997558519241921"/>
  </sheetPr>
  <dimension ref="A1:R24"/>
  <sheetViews>
    <sheetView showGridLines="0" view="pageBreakPreview" zoomScaleNormal="100" zoomScaleSheetLayoutView="100" workbookViewId="0">
      <selection activeCell="D25" sqref="D25"/>
    </sheetView>
  </sheetViews>
  <sheetFormatPr defaultRowHeight="14.4"/>
  <cols>
    <col min="1" max="1" width="7.5546875" customWidth="1"/>
    <col min="2" max="2" width="36.77734375" customWidth="1"/>
    <col min="3" max="3" width="15.44140625" customWidth="1"/>
    <col min="4" max="4" width="15.33203125" customWidth="1"/>
    <col min="5" max="5" width="20.109375" customWidth="1"/>
    <col min="6" max="6" width="30.88671875" customWidth="1"/>
    <col min="7" max="7" width="15.44140625" customWidth="1"/>
    <col min="8" max="8" width="16.109375" customWidth="1"/>
    <col min="9" max="9" width="16.77734375" customWidth="1"/>
    <col min="10" max="10" width="30.109375" customWidth="1"/>
    <col min="11" max="12" width="17.77734375" customWidth="1"/>
    <col min="13" max="13" width="13.88671875" customWidth="1"/>
    <col min="14" max="14" width="13.44140625" customWidth="1"/>
  </cols>
  <sheetData>
    <row r="1" spans="1:14" ht="45" customHeight="1"/>
    <row r="2" spans="1:14" ht="37.5" customHeight="1">
      <c r="A2" s="95" t="s">
        <v>133</v>
      </c>
      <c r="B2" s="95"/>
      <c r="C2" s="95"/>
      <c r="D2" s="95"/>
      <c r="E2" s="95"/>
      <c r="F2" s="38"/>
      <c r="G2" s="38"/>
      <c r="H2" s="38"/>
      <c r="I2" s="38"/>
      <c r="J2" s="38"/>
      <c r="K2" s="38"/>
      <c r="L2" s="38"/>
      <c r="M2" s="38"/>
      <c r="N2" s="38"/>
    </row>
    <row r="3" spans="1:14">
      <c r="A3" s="14" t="s">
        <v>116</v>
      </c>
    </row>
    <row r="4" spans="1:14" ht="35.25" customHeight="1">
      <c r="A4" s="91" t="s">
        <v>45</v>
      </c>
      <c r="B4" s="92"/>
      <c r="C4" s="15" t="s">
        <v>142</v>
      </c>
      <c r="D4" s="15" t="s">
        <v>143</v>
      </c>
      <c r="E4" s="15" t="s">
        <v>113</v>
      </c>
    </row>
    <row r="5" spans="1:14" ht="16.05" customHeight="1">
      <c r="A5" s="17">
        <v>1</v>
      </c>
      <c r="B5" s="36" t="s">
        <v>50</v>
      </c>
      <c r="C5" s="25">
        <v>71120</v>
      </c>
      <c r="D5" s="25">
        <v>80664</v>
      </c>
      <c r="E5" s="20">
        <v>0.13419572553430822</v>
      </c>
    </row>
    <row r="6" spans="1:14" ht="16.05" customHeight="1">
      <c r="A6" s="18">
        <v>2</v>
      </c>
      <c r="B6" s="37" t="s">
        <v>51</v>
      </c>
      <c r="C6" s="26">
        <v>505734</v>
      </c>
      <c r="D6" s="26">
        <v>521617</v>
      </c>
      <c r="E6" s="19">
        <v>3.1405837851518785E-2</v>
      </c>
    </row>
    <row r="7" spans="1:14" ht="16.05" customHeight="1">
      <c r="A7" s="17">
        <v>3</v>
      </c>
      <c r="B7" s="36" t="s">
        <v>52</v>
      </c>
      <c r="C7" s="25">
        <v>502</v>
      </c>
      <c r="D7" s="25">
        <v>591</v>
      </c>
      <c r="E7" s="20">
        <v>0.17729083665338646</v>
      </c>
      <c r="F7" s="39"/>
    </row>
    <row r="8" spans="1:14" ht="16.05" customHeight="1">
      <c r="A8" s="18">
        <v>4</v>
      </c>
      <c r="B8" s="37" t="s">
        <v>53</v>
      </c>
      <c r="C8" s="26">
        <v>21969</v>
      </c>
      <c r="D8" s="26">
        <v>24460</v>
      </c>
      <c r="E8" s="19">
        <v>0.11338704538212936</v>
      </c>
      <c r="F8" s="39"/>
    </row>
    <row r="9" spans="1:14" ht="16.05" customHeight="1">
      <c r="A9" s="17">
        <v>5</v>
      </c>
      <c r="B9" s="36" t="s">
        <v>54</v>
      </c>
      <c r="C9" s="25">
        <v>834</v>
      </c>
      <c r="D9" s="25">
        <v>968</v>
      </c>
      <c r="E9" s="20">
        <v>0.16067146282973621</v>
      </c>
      <c r="F9" s="39"/>
    </row>
    <row r="10" spans="1:14" ht="16.05" customHeight="1">
      <c r="A10" s="18">
        <v>6</v>
      </c>
      <c r="B10" s="37" t="s">
        <v>55</v>
      </c>
      <c r="C10" s="26">
        <v>6839</v>
      </c>
      <c r="D10" s="26">
        <v>7370</v>
      </c>
      <c r="E10" s="19">
        <v>7.7642930252960957E-2</v>
      </c>
      <c r="F10" s="39"/>
    </row>
    <row r="11" spans="1:14" ht="16.05" customHeight="1">
      <c r="A11" s="17">
        <v>7</v>
      </c>
      <c r="B11" s="36" t="s">
        <v>56</v>
      </c>
      <c r="C11" s="25">
        <v>10319</v>
      </c>
      <c r="D11" s="25">
        <v>11769</v>
      </c>
      <c r="E11" s="20">
        <v>0.14051749200503924</v>
      </c>
      <c r="F11" s="39"/>
    </row>
    <row r="12" spans="1:14" ht="16.05" customHeight="1">
      <c r="A12" s="18">
        <v>8</v>
      </c>
      <c r="B12" s="37" t="s">
        <v>57</v>
      </c>
      <c r="C12" s="26">
        <v>12400</v>
      </c>
      <c r="D12" s="26">
        <v>13559</v>
      </c>
      <c r="E12" s="19">
        <v>9.3467741935483878E-2</v>
      </c>
    </row>
    <row r="13" spans="1:14" ht="16.05" customHeight="1">
      <c r="A13" s="17">
        <v>9</v>
      </c>
      <c r="B13" s="36" t="s">
        <v>58</v>
      </c>
      <c r="C13" s="25">
        <v>1724</v>
      </c>
      <c r="D13" s="25">
        <v>1600</v>
      </c>
      <c r="E13" s="20">
        <v>-7.1925754060324823E-2</v>
      </c>
    </row>
    <row r="14" spans="1:14" ht="16.05" customHeight="1">
      <c r="A14" s="18">
        <v>10</v>
      </c>
      <c r="B14" s="37" t="s">
        <v>59</v>
      </c>
      <c r="C14" s="26">
        <v>7487</v>
      </c>
      <c r="D14" s="26">
        <v>8372</v>
      </c>
      <c r="E14" s="19">
        <v>0.11820488847335381</v>
      </c>
    </row>
    <row r="15" spans="1:14" ht="16.05" customHeight="1">
      <c r="A15" s="17">
        <v>11</v>
      </c>
      <c r="B15" s="36" t="s">
        <v>60</v>
      </c>
      <c r="C15" s="25">
        <v>8216</v>
      </c>
      <c r="D15" s="25">
        <v>10105</v>
      </c>
      <c r="E15" s="20">
        <v>0.2299172346640701</v>
      </c>
    </row>
    <row r="16" spans="1:14" ht="16.05" customHeight="1">
      <c r="A16" s="18">
        <v>12</v>
      </c>
      <c r="B16" s="37" t="s">
        <v>61</v>
      </c>
      <c r="C16" s="26">
        <v>37362</v>
      </c>
      <c r="D16" s="26">
        <v>43383</v>
      </c>
      <c r="E16" s="19">
        <v>0.16115304319897222</v>
      </c>
    </row>
    <row r="17" spans="1:18" ht="20.25" customHeight="1">
      <c r="A17" s="93" t="s">
        <v>48</v>
      </c>
      <c r="B17" s="94"/>
      <c r="C17" s="29">
        <v>684506</v>
      </c>
      <c r="D17" s="29">
        <v>724458</v>
      </c>
      <c r="E17" s="31">
        <v>5.8366179405293747E-2</v>
      </c>
    </row>
    <row r="18" spans="1:18" ht="13.95" customHeight="1">
      <c r="A18" s="80" t="s">
        <v>114</v>
      </c>
      <c r="B18" s="81"/>
      <c r="C18" s="81"/>
      <c r="D18" s="78" t="s">
        <v>115</v>
      </c>
      <c r="E18" s="78"/>
    </row>
    <row r="19" spans="1:18" ht="13.95" customHeight="1">
      <c r="A19" s="96"/>
      <c r="B19" s="97"/>
      <c r="C19" s="97"/>
      <c r="D19" s="40"/>
      <c r="E19" s="41"/>
    </row>
    <row r="20" spans="1:18">
      <c r="A20" s="41"/>
      <c r="B20" s="41"/>
      <c r="C20" s="41"/>
      <c r="D20" s="41"/>
      <c r="E20" s="41"/>
    </row>
    <row r="21" spans="1:18">
      <c r="O21" s="8"/>
      <c r="P21" s="8"/>
      <c r="Q21" s="8"/>
      <c r="R21" s="8"/>
    </row>
    <row r="22" spans="1:18">
      <c r="M22" s="8"/>
      <c r="N22" s="42"/>
      <c r="O22" s="42"/>
      <c r="P22" s="8"/>
      <c r="Q22" s="8"/>
      <c r="R22" s="8"/>
    </row>
    <row r="23" spans="1:18">
      <c r="M23" s="8"/>
      <c r="N23" s="8"/>
      <c r="O23" s="8"/>
      <c r="P23" s="8"/>
      <c r="Q23" s="8"/>
      <c r="R23" s="8"/>
    </row>
    <row r="24" spans="1:18">
      <c r="M24" s="8"/>
      <c r="N24" s="8"/>
      <c r="O24" s="8"/>
      <c r="P24" s="8"/>
      <c r="Q24" s="8"/>
      <c r="R24" s="8"/>
    </row>
  </sheetData>
  <mergeCells count="5">
    <mergeCell ref="A2:E2"/>
    <mergeCell ref="A4:B4"/>
    <mergeCell ref="A17:B17"/>
    <mergeCell ref="A18:C19"/>
    <mergeCell ref="D18:E18"/>
  </mergeCells>
  <hyperlinks>
    <hyperlink ref="D18" location="'Main menu'!A1" display="Back to main menu" xr:uid="{0A6A185D-8903-45AF-9B02-637067617005}"/>
  </hyperlinks>
  <pageMargins left="0.7" right="0.7" top="0.75" bottom="0.75" header="0.3" footer="0.3"/>
  <pageSetup scale="76"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1983-1F0B-45A4-B2A0-6A2734332520}">
  <sheetPr>
    <tabColor theme="3" tint="0.39997558519241921"/>
  </sheetPr>
  <dimension ref="A1:R24"/>
  <sheetViews>
    <sheetView showGridLines="0" view="pageBreakPreview" zoomScaleNormal="100" zoomScaleSheetLayoutView="100" workbookViewId="0">
      <selection activeCell="F30" sqref="F30"/>
    </sheetView>
  </sheetViews>
  <sheetFormatPr defaultRowHeight="14.4"/>
  <cols>
    <col min="1" max="1" width="7.5546875" customWidth="1"/>
    <col min="2" max="2" width="37.88671875" customWidth="1"/>
    <col min="3" max="3" width="15.44140625" customWidth="1"/>
    <col min="4" max="4" width="15.33203125" customWidth="1"/>
    <col min="5" max="5" width="20.109375" customWidth="1"/>
    <col min="6" max="6" width="30.88671875" customWidth="1"/>
    <col min="7" max="7" width="15.44140625" customWidth="1"/>
    <col min="8" max="8" width="16.109375" customWidth="1"/>
    <col min="9" max="9" width="16.77734375" customWidth="1"/>
    <col min="10" max="10" width="30.109375" customWidth="1"/>
    <col min="11" max="12" width="17.77734375" customWidth="1"/>
    <col min="13" max="13" width="13.88671875" customWidth="1"/>
    <col min="14" max="14" width="13.44140625" customWidth="1"/>
  </cols>
  <sheetData>
    <row r="1" spans="1:14" ht="43.5" customHeight="1"/>
    <row r="2" spans="1:14" ht="37.049999999999997" customHeight="1">
      <c r="A2" s="95" t="s">
        <v>134</v>
      </c>
      <c r="B2" s="95"/>
      <c r="C2" s="95"/>
      <c r="D2" s="95"/>
      <c r="E2" s="95"/>
      <c r="F2" s="38"/>
      <c r="G2" s="38"/>
      <c r="H2" s="38"/>
      <c r="I2" s="38"/>
      <c r="J2" s="38"/>
      <c r="K2" s="38"/>
      <c r="L2" s="38"/>
      <c r="M2" s="38"/>
      <c r="N2" s="38"/>
    </row>
    <row r="3" spans="1:14">
      <c r="A3" s="14" t="s">
        <v>117</v>
      </c>
    </row>
    <row r="4" spans="1:14" ht="35.25" customHeight="1">
      <c r="A4" s="91" t="s">
        <v>45</v>
      </c>
      <c r="B4" s="92"/>
      <c r="C4" s="15" t="s">
        <v>142</v>
      </c>
      <c r="D4" s="15" t="s">
        <v>143</v>
      </c>
      <c r="E4" s="15" t="s">
        <v>113</v>
      </c>
    </row>
    <row r="5" spans="1:14" ht="16.05" customHeight="1">
      <c r="A5" s="17">
        <v>1</v>
      </c>
      <c r="B5" s="36" t="s">
        <v>50</v>
      </c>
      <c r="C5" s="25">
        <v>118766</v>
      </c>
      <c r="D5" s="25">
        <v>131914</v>
      </c>
      <c r="E5" s="20">
        <v>0.11070508394658404</v>
      </c>
    </row>
    <row r="6" spans="1:14" ht="16.05" customHeight="1">
      <c r="A6" s="18">
        <v>2</v>
      </c>
      <c r="B6" s="37" t="s">
        <v>51</v>
      </c>
      <c r="C6" s="26">
        <v>628694</v>
      </c>
      <c r="D6" s="26">
        <v>637891</v>
      </c>
      <c r="E6" s="19">
        <v>1.4628738305121411E-2</v>
      </c>
    </row>
    <row r="7" spans="1:14" ht="16.05" customHeight="1">
      <c r="A7" s="17">
        <v>3</v>
      </c>
      <c r="B7" s="36" t="s">
        <v>52</v>
      </c>
      <c r="C7" s="25">
        <v>3997</v>
      </c>
      <c r="D7" s="25">
        <v>4297</v>
      </c>
      <c r="E7" s="20">
        <v>7.5056292219164378E-2</v>
      </c>
      <c r="F7" s="39"/>
    </row>
    <row r="8" spans="1:14" ht="16.05" customHeight="1">
      <c r="A8" s="18">
        <v>4</v>
      </c>
      <c r="B8" s="37" t="s">
        <v>53</v>
      </c>
      <c r="C8" s="26">
        <v>27785</v>
      </c>
      <c r="D8" s="26">
        <v>31046</v>
      </c>
      <c r="E8" s="19">
        <v>0.11736548497390678</v>
      </c>
      <c r="F8" s="39"/>
    </row>
    <row r="9" spans="1:14" ht="16.05" customHeight="1">
      <c r="A9" s="17">
        <v>5</v>
      </c>
      <c r="B9" s="36" t="s">
        <v>54</v>
      </c>
      <c r="C9" s="25">
        <v>1462</v>
      </c>
      <c r="D9" s="25">
        <v>1590</v>
      </c>
      <c r="E9" s="20">
        <v>8.7551299589603282E-2</v>
      </c>
      <c r="F9" s="39"/>
    </row>
    <row r="10" spans="1:14" ht="16.05" customHeight="1">
      <c r="A10" s="18">
        <v>6</v>
      </c>
      <c r="B10" s="37" t="s">
        <v>55</v>
      </c>
      <c r="C10" s="26">
        <v>19152</v>
      </c>
      <c r="D10" s="26">
        <v>20699</v>
      </c>
      <c r="E10" s="19">
        <v>8.0774853801169597E-2</v>
      </c>
      <c r="F10" s="39"/>
    </row>
    <row r="11" spans="1:14" ht="16.05" customHeight="1">
      <c r="A11" s="17">
        <v>7</v>
      </c>
      <c r="B11" s="36" t="s">
        <v>56</v>
      </c>
      <c r="C11" s="25">
        <v>17551</v>
      </c>
      <c r="D11" s="25">
        <v>20345</v>
      </c>
      <c r="E11" s="20">
        <v>0.15919320836419576</v>
      </c>
      <c r="F11" s="39"/>
    </row>
    <row r="12" spans="1:14" ht="16.05" customHeight="1">
      <c r="A12" s="18">
        <v>8</v>
      </c>
      <c r="B12" s="37" t="s">
        <v>57</v>
      </c>
      <c r="C12" s="26">
        <v>22462</v>
      </c>
      <c r="D12" s="26">
        <v>20750</v>
      </c>
      <c r="E12" s="19">
        <v>-7.6217611966877388E-2</v>
      </c>
    </row>
    <row r="13" spans="1:14" ht="16.05" customHeight="1">
      <c r="A13" s="17">
        <v>9</v>
      </c>
      <c r="B13" s="36" t="s">
        <v>58</v>
      </c>
      <c r="C13" s="25">
        <v>3959</v>
      </c>
      <c r="D13" s="25">
        <v>3598</v>
      </c>
      <c r="E13" s="20">
        <v>-9.1184642586511752E-2</v>
      </c>
    </row>
    <row r="14" spans="1:14" ht="16.05" customHeight="1">
      <c r="A14" s="18">
        <v>10</v>
      </c>
      <c r="B14" s="37" t="s">
        <v>59</v>
      </c>
      <c r="C14" s="26">
        <v>12919</v>
      </c>
      <c r="D14" s="26">
        <v>13535</v>
      </c>
      <c r="E14" s="19">
        <v>4.7681709110612279E-2</v>
      </c>
    </row>
    <row r="15" spans="1:14" ht="16.05" customHeight="1">
      <c r="A15" s="17">
        <v>11</v>
      </c>
      <c r="B15" s="36" t="s">
        <v>60</v>
      </c>
      <c r="C15" s="25">
        <v>15839</v>
      </c>
      <c r="D15" s="25">
        <v>18576</v>
      </c>
      <c r="E15" s="20">
        <v>0.17280131321421807</v>
      </c>
    </row>
    <row r="16" spans="1:14" ht="16.05" customHeight="1">
      <c r="A16" s="18">
        <v>12</v>
      </c>
      <c r="B16" s="37" t="s">
        <v>61</v>
      </c>
      <c r="C16" s="26">
        <v>56818</v>
      </c>
      <c r="D16" s="26">
        <v>62290</v>
      </c>
      <c r="E16" s="19">
        <v>9.6307508184026183E-2</v>
      </c>
    </row>
    <row r="17" spans="1:18" ht="20.25" customHeight="1">
      <c r="A17" s="93" t="s">
        <v>48</v>
      </c>
      <c r="B17" s="94"/>
      <c r="C17" s="29">
        <v>929404</v>
      </c>
      <c r="D17" s="29">
        <v>966531</v>
      </c>
      <c r="E17" s="31">
        <v>3.9947105887213744E-2</v>
      </c>
    </row>
    <row r="18" spans="1:18" ht="13.95" customHeight="1">
      <c r="A18" s="80" t="s">
        <v>114</v>
      </c>
      <c r="B18" s="81"/>
      <c r="C18" s="81"/>
      <c r="D18" s="78" t="s">
        <v>115</v>
      </c>
      <c r="E18" s="78"/>
    </row>
    <row r="19" spans="1:18" ht="13.95" customHeight="1">
      <c r="A19" s="96"/>
      <c r="B19" s="97"/>
      <c r="C19" s="97"/>
      <c r="D19" s="40"/>
      <c r="E19" s="41"/>
    </row>
    <row r="20" spans="1:18">
      <c r="A20" s="41"/>
      <c r="B20" s="41"/>
      <c r="C20" s="41"/>
      <c r="D20" s="41"/>
      <c r="E20" s="41"/>
    </row>
    <row r="21" spans="1:18">
      <c r="O21" s="8"/>
      <c r="P21" s="8"/>
      <c r="Q21" s="8"/>
      <c r="R21" s="8"/>
    </row>
    <row r="22" spans="1:18">
      <c r="M22" s="8"/>
      <c r="N22" s="42"/>
      <c r="O22" s="42"/>
      <c r="P22" s="8"/>
      <c r="Q22" s="8"/>
      <c r="R22" s="8"/>
    </row>
    <row r="23" spans="1:18">
      <c r="M23" s="8"/>
      <c r="N23" s="8"/>
      <c r="O23" s="8"/>
      <c r="P23" s="8"/>
      <c r="Q23" s="8"/>
      <c r="R23" s="8"/>
    </row>
    <row r="24" spans="1:18">
      <c r="M24" s="8"/>
      <c r="N24" s="8"/>
      <c r="O24" s="8"/>
      <c r="P24" s="8"/>
      <c r="Q24" s="8"/>
      <c r="R24" s="8"/>
    </row>
  </sheetData>
  <mergeCells count="5">
    <mergeCell ref="A2:E2"/>
    <mergeCell ref="A4:B4"/>
    <mergeCell ref="A17:B17"/>
    <mergeCell ref="A18:C19"/>
    <mergeCell ref="D18:E18"/>
  </mergeCells>
  <hyperlinks>
    <hyperlink ref="D18" location="'Main menu'!A1" display="Back to main menu" xr:uid="{87B22895-F36C-468B-B525-7B926C4AE1FF}"/>
  </hyperlinks>
  <pageMargins left="0.7" right="0.7" top="0.75" bottom="0.75" header="0.3" footer="0.3"/>
  <pageSetup scale="76"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E0987-0EA9-44AF-943C-1C7A1F2A3F2A}">
  <sheetPr>
    <tabColor theme="3" tint="0.39997558519241921"/>
  </sheetPr>
  <dimension ref="A1:N20"/>
  <sheetViews>
    <sheetView showGridLines="0" view="pageBreakPreview" zoomScaleNormal="100" zoomScaleSheetLayoutView="100" workbookViewId="0">
      <selection activeCell="B5" sqref="B5:B17"/>
    </sheetView>
  </sheetViews>
  <sheetFormatPr defaultRowHeight="14.4"/>
  <cols>
    <col min="1" max="1" width="7.5546875" customWidth="1"/>
    <col min="2" max="2" width="23.77734375" customWidth="1"/>
    <col min="3" max="4" width="15.44140625" customWidth="1"/>
    <col min="5" max="5" width="20.44140625" customWidth="1"/>
    <col min="6" max="6" width="34.109375" customWidth="1"/>
    <col min="7" max="9" width="15.44140625" customWidth="1"/>
    <col min="10" max="10" width="21.44140625" customWidth="1"/>
    <col min="11" max="14" width="15.44140625" customWidth="1"/>
  </cols>
  <sheetData>
    <row r="1" spans="1:14" ht="43.5" customHeight="1"/>
    <row r="2" spans="1:14" ht="40.5" customHeight="1">
      <c r="A2" s="95" t="s">
        <v>135</v>
      </c>
      <c r="B2" s="95"/>
      <c r="C2" s="95"/>
      <c r="D2" s="95"/>
      <c r="E2" s="95"/>
      <c r="F2" s="38"/>
      <c r="G2" s="38"/>
      <c r="H2" s="38"/>
      <c r="I2" s="38"/>
      <c r="J2" s="38"/>
      <c r="K2" s="38"/>
      <c r="L2" s="38"/>
      <c r="M2" s="38"/>
      <c r="N2" s="38"/>
    </row>
    <row r="3" spans="1:14">
      <c r="A3" s="14" t="s">
        <v>118</v>
      </c>
    </row>
    <row r="4" spans="1:14" ht="35.25" customHeight="1">
      <c r="A4" s="91" t="s">
        <v>119</v>
      </c>
      <c r="B4" s="92"/>
      <c r="C4" s="15" t="s">
        <v>111</v>
      </c>
      <c r="D4" s="15" t="s">
        <v>112</v>
      </c>
      <c r="E4" s="15" t="s">
        <v>120</v>
      </c>
    </row>
    <row r="5" spans="1:14" ht="16.05" customHeight="1">
      <c r="A5" s="17">
        <v>1</v>
      </c>
      <c r="B5" s="36" t="s">
        <v>73</v>
      </c>
      <c r="C5" s="25">
        <v>98513</v>
      </c>
      <c r="D5" s="25">
        <v>95825</v>
      </c>
      <c r="E5" s="20">
        <v>-2.7285738938008182E-2</v>
      </c>
      <c r="F5" s="39"/>
    </row>
    <row r="6" spans="1:14" ht="16.05" customHeight="1">
      <c r="A6" s="18">
        <v>2</v>
      </c>
      <c r="B6" s="37" t="s">
        <v>74</v>
      </c>
      <c r="C6" s="26">
        <v>74457</v>
      </c>
      <c r="D6" s="26">
        <v>72044</v>
      </c>
      <c r="E6" s="19">
        <v>-3.2407967014518445E-2</v>
      </c>
      <c r="F6" s="39"/>
    </row>
    <row r="7" spans="1:14" ht="16.05" customHeight="1">
      <c r="A7" s="17">
        <v>3</v>
      </c>
      <c r="B7" s="36" t="s">
        <v>75</v>
      </c>
      <c r="C7" s="25">
        <v>33372</v>
      </c>
      <c r="D7" s="25">
        <v>34777</v>
      </c>
      <c r="E7" s="20">
        <v>4.2101162651324464E-2</v>
      </c>
    </row>
    <row r="8" spans="1:14" ht="16.05" customHeight="1">
      <c r="A8" s="18">
        <v>4</v>
      </c>
      <c r="B8" s="37" t="s">
        <v>76</v>
      </c>
      <c r="C8" s="26">
        <v>11512</v>
      </c>
      <c r="D8" s="26">
        <v>12682</v>
      </c>
      <c r="E8" s="19">
        <v>0.1016330785267547</v>
      </c>
    </row>
    <row r="9" spans="1:14" ht="16.05" customHeight="1">
      <c r="A9" s="17">
        <v>5</v>
      </c>
      <c r="B9" s="36" t="s">
        <v>77</v>
      </c>
      <c r="C9" s="25">
        <v>7684</v>
      </c>
      <c r="D9" s="25">
        <v>7540</v>
      </c>
      <c r="E9" s="20">
        <v>-1.8740239458615304E-2</v>
      </c>
    </row>
    <row r="10" spans="1:14" ht="16.05" customHeight="1">
      <c r="A10" s="18">
        <v>6</v>
      </c>
      <c r="B10" s="37" t="s">
        <v>78</v>
      </c>
      <c r="C10" s="26">
        <v>3708</v>
      </c>
      <c r="D10" s="26">
        <v>3520</v>
      </c>
      <c r="E10" s="19">
        <v>-5.070118662351672E-2</v>
      </c>
    </row>
    <row r="11" spans="1:14" ht="16.05" customHeight="1">
      <c r="A11" s="17">
        <v>7</v>
      </c>
      <c r="B11" s="36" t="s">
        <v>79</v>
      </c>
      <c r="C11" s="25">
        <v>5507</v>
      </c>
      <c r="D11" s="25">
        <v>5639</v>
      </c>
      <c r="E11" s="20">
        <v>2.3969493372071909E-2</v>
      </c>
    </row>
    <row r="12" spans="1:14" ht="16.05" customHeight="1">
      <c r="A12" s="18">
        <v>8</v>
      </c>
      <c r="B12" s="37" t="s">
        <v>80</v>
      </c>
      <c r="C12" s="26">
        <v>3305</v>
      </c>
      <c r="D12" s="26">
        <v>3769</v>
      </c>
      <c r="E12" s="19">
        <v>0.14039334341906204</v>
      </c>
    </row>
    <row r="13" spans="1:14" ht="16.05" customHeight="1">
      <c r="A13" s="17">
        <v>9</v>
      </c>
      <c r="B13" s="36" t="s">
        <v>81</v>
      </c>
      <c r="C13" s="25">
        <v>2225</v>
      </c>
      <c r="D13" s="25">
        <v>1845</v>
      </c>
      <c r="E13" s="20">
        <v>-0.17078651685393259</v>
      </c>
    </row>
    <row r="14" spans="1:14" ht="16.05" customHeight="1">
      <c r="A14" s="18">
        <v>10</v>
      </c>
      <c r="B14" s="37" t="s">
        <v>82</v>
      </c>
      <c r="C14" s="26">
        <v>1236</v>
      </c>
      <c r="D14" s="26">
        <v>1149</v>
      </c>
      <c r="E14" s="19">
        <v>-7.0388349514563103E-2</v>
      </c>
    </row>
    <row r="15" spans="1:14" ht="16.05" customHeight="1">
      <c r="A15" s="17">
        <v>11</v>
      </c>
      <c r="B15" s="36" t="s">
        <v>83</v>
      </c>
      <c r="C15" s="25">
        <v>1308</v>
      </c>
      <c r="D15" s="25">
        <v>1259</v>
      </c>
      <c r="E15" s="20">
        <v>-3.746177370030581E-2</v>
      </c>
    </row>
    <row r="16" spans="1:14" ht="16.05" customHeight="1">
      <c r="A16" s="18">
        <v>12</v>
      </c>
      <c r="B16" s="37" t="s">
        <v>84</v>
      </c>
      <c r="C16" s="26">
        <v>863</v>
      </c>
      <c r="D16" s="26">
        <v>887</v>
      </c>
      <c r="E16" s="19">
        <v>2.7809965237543453E-2</v>
      </c>
    </row>
    <row r="17" spans="1:5" ht="16.05" customHeight="1">
      <c r="A17" s="17">
        <v>13</v>
      </c>
      <c r="B17" s="36" t="s">
        <v>85</v>
      </c>
      <c r="C17" s="25">
        <v>1208</v>
      </c>
      <c r="D17" s="25">
        <v>1137</v>
      </c>
      <c r="E17" s="20">
        <v>-5.8774834437086095E-2</v>
      </c>
    </row>
    <row r="18" spans="1:5" ht="20.25" customHeight="1">
      <c r="A18" s="93" t="s">
        <v>48</v>
      </c>
      <c r="B18" s="94"/>
      <c r="C18" s="29">
        <v>244898</v>
      </c>
      <c r="D18" s="29">
        <v>242073</v>
      </c>
      <c r="E18" s="31">
        <v>-1.1535414744097543E-2</v>
      </c>
    </row>
    <row r="19" spans="1:5" ht="13.95" customHeight="1">
      <c r="A19" s="81" t="s">
        <v>114</v>
      </c>
      <c r="B19" s="81"/>
      <c r="C19" s="81"/>
      <c r="D19" s="81"/>
      <c r="E19" s="35" t="s">
        <v>115</v>
      </c>
    </row>
    <row r="20" spans="1:5">
      <c r="A20" s="98"/>
      <c r="B20" s="98"/>
      <c r="C20" s="98"/>
      <c r="D20" s="98"/>
    </row>
  </sheetData>
  <mergeCells count="4">
    <mergeCell ref="A2:E2"/>
    <mergeCell ref="A4:B4"/>
    <mergeCell ref="A18:B18"/>
    <mergeCell ref="A19:D20"/>
  </mergeCells>
  <hyperlinks>
    <hyperlink ref="E19" location="'Main menu'!A1" display="Back to main menu" xr:uid="{6ACC0A49-17CA-44BE-9145-6DA9775AC663}"/>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6041-4A7E-44D8-8A4D-BEA659CF62C6}">
  <sheetPr>
    <tabColor theme="3" tint="0.39997558519241921"/>
  </sheetPr>
  <dimension ref="A1:N21"/>
  <sheetViews>
    <sheetView showGridLines="0" view="pageBreakPreview" zoomScaleNormal="100" zoomScaleSheetLayoutView="100" workbookViewId="0">
      <selection activeCell="B5" sqref="B5:B17"/>
    </sheetView>
  </sheetViews>
  <sheetFormatPr defaultRowHeight="14.4"/>
  <cols>
    <col min="1" max="1" width="7.5546875" customWidth="1"/>
    <col min="2" max="2" width="23.77734375" customWidth="1"/>
    <col min="3" max="4" width="15.44140625" customWidth="1"/>
    <col min="5" max="5" width="20.44140625" customWidth="1"/>
    <col min="6" max="6" width="34.109375" customWidth="1"/>
    <col min="7" max="9" width="15.44140625" customWidth="1"/>
    <col min="10" max="10" width="21.44140625" customWidth="1"/>
    <col min="11" max="14" width="15.44140625" customWidth="1"/>
  </cols>
  <sheetData>
    <row r="1" spans="1:14" ht="45" customHeight="1"/>
    <row r="2" spans="1:14" ht="36.450000000000003" customHeight="1">
      <c r="A2" s="95" t="s">
        <v>147</v>
      </c>
      <c r="B2" s="95"/>
      <c r="C2" s="95"/>
      <c r="D2" s="95"/>
      <c r="E2" s="95"/>
      <c r="F2" s="38"/>
      <c r="G2" s="38"/>
      <c r="H2" s="38"/>
      <c r="I2" s="38"/>
      <c r="J2" s="38"/>
      <c r="K2" s="38"/>
      <c r="L2" s="38"/>
      <c r="M2" s="38"/>
      <c r="N2" s="38"/>
    </row>
    <row r="3" spans="1:14">
      <c r="A3" s="14" t="s">
        <v>121</v>
      </c>
    </row>
    <row r="4" spans="1:14" ht="35.25" customHeight="1">
      <c r="A4" s="91" t="s">
        <v>119</v>
      </c>
      <c r="B4" s="92"/>
      <c r="C4" s="15" t="s">
        <v>111</v>
      </c>
      <c r="D4" s="15" t="s">
        <v>112</v>
      </c>
      <c r="E4" s="15" t="s">
        <v>120</v>
      </c>
    </row>
    <row r="5" spans="1:14" ht="16.05" customHeight="1">
      <c r="A5" s="17">
        <v>1</v>
      </c>
      <c r="B5" s="36" t="s">
        <v>73</v>
      </c>
      <c r="C5" s="25">
        <v>215864</v>
      </c>
      <c r="D5" s="25">
        <v>224792</v>
      </c>
      <c r="E5" s="20">
        <v>4.1359374420931697E-2</v>
      </c>
      <c r="F5" s="39"/>
    </row>
    <row r="6" spans="1:14" ht="16.05" customHeight="1">
      <c r="A6" s="18">
        <v>2</v>
      </c>
      <c r="B6" s="37" t="s">
        <v>74</v>
      </c>
      <c r="C6" s="26">
        <v>187092</v>
      </c>
      <c r="D6" s="26">
        <v>196910</v>
      </c>
      <c r="E6" s="19">
        <v>5.2476856305988501E-2</v>
      </c>
      <c r="F6" s="39"/>
    </row>
    <row r="7" spans="1:14" ht="16.05" customHeight="1">
      <c r="A7" s="17">
        <v>3</v>
      </c>
      <c r="B7" s="36" t="s">
        <v>75</v>
      </c>
      <c r="C7" s="25">
        <v>104072</v>
      </c>
      <c r="D7" s="25">
        <v>112125</v>
      </c>
      <c r="E7" s="20">
        <v>7.7379122146206472E-2</v>
      </c>
    </row>
    <row r="8" spans="1:14" ht="16.05" customHeight="1">
      <c r="A8" s="18">
        <v>4</v>
      </c>
      <c r="B8" s="37" t="s">
        <v>76</v>
      </c>
      <c r="C8" s="26">
        <v>39373</v>
      </c>
      <c r="D8" s="26">
        <v>44316</v>
      </c>
      <c r="E8" s="19">
        <v>0.12554288471795394</v>
      </c>
    </row>
    <row r="9" spans="1:14" ht="16.05" customHeight="1">
      <c r="A9" s="17">
        <v>5</v>
      </c>
      <c r="B9" s="36" t="s">
        <v>77</v>
      </c>
      <c r="C9" s="25">
        <v>37029</v>
      </c>
      <c r="D9" s="25">
        <v>38982</v>
      </c>
      <c r="E9" s="20">
        <v>5.2742445110588995E-2</v>
      </c>
    </row>
    <row r="10" spans="1:14" ht="16.05" customHeight="1">
      <c r="A10" s="18">
        <v>6</v>
      </c>
      <c r="B10" s="37" t="s">
        <v>78</v>
      </c>
      <c r="C10" s="26">
        <v>22726</v>
      </c>
      <c r="D10" s="26">
        <v>24003</v>
      </c>
      <c r="E10" s="19">
        <v>5.6191146704215433E-2</v>
      </c>
    </row>
    <row r="11" spans="1:14" ht="16.05" customHeight="1">
      <c r="A11" s="17">
        <v>7</v>
      </c>
      <c r="B11" s="36" t="s">
        <v>79</v>
      </c>
      <c r="C11" s="25">
        <v>25614</v>
      </c>
      <c r="D11" s="25">
        <v>26548</v>
      </c>
      <c r="E11" s="20">
        <v>3.6464433512922619E-2</v>
      </c>
    </row>
    <row r="12" spans="1:14" ht="16.05" customHeight="1">
      <c r="A12" s="18">
        <v>8</v>
      </c>
      <c r="B12" s="37" t="s">
        <v>80</v>
      </c>
      <c r="C12" s="26">
        <v>15519</v>
      </c>
      <c r="D12" s="26">
        <v>17849</v>
      </c>
      <c r="E12" s="19">
        <v>0.15013853985437206</v>
      </c>
    </row>
    <row r="13" spans="1:14" ht="16.05" customHeight="1">
      <c r="A13" s="17">
        <v>9</v>
      </c>
      <c r="B13" s="36" t="s">
        <v>81</v>
      </c>
      <c r="C13" s="25">
        <v>10779</v>
      </c>
      <c r="D13" s="25">
        <v>10632</v>
      </c>
      <c r="E13" s="20">
        <v>-1.3637628722516002E-2</v>
      </c>
    </row>
    <row r="14" spans="1:14" ht="16.05" customHeight="1">
      <c r="A14" s="18">
        <v>10</v>
      </c>
      <c r="B14" s="37" t="s">
        <v>82</v>
      </c>
      <c r="C14" s="26">
        <v>6632</v>
      </c>
      <c r="D14" s="26">
        <v>6874</v>
      </c>
      <c r="E14" s="19">
        <v>3.6489746682750304E-2</v>
      </c>
    </row>
    <row r="15" spans="1:14" ht="16.05" customHeight="1">
      <c r="A15" s="17">
        <v>11</v>
      </c>
      <c r="B15" s="36" t="s">
        <v>83</v>
      </c>
      <c r="C15" s="25">
        <v>8347</v>
      </c>
      <c r="D15" s="25">
        <v>9160</v>
      </c>
      <c r="E15" s="20">
        <v>9.740026356774889E-2</v>
      </c>
    </row>
    <row r="16" spans="1:14" ht="16.05" customHeight="1">
      <c r="A16" s="18">
        <v>12</v>
      </c>
      <c r="B16" s="37" t="s">
        <v>84</v>
      </c>
      <c r="C16" s="26">
        <v>5937</v>
      </c>
      <c r="D16" s="26">
        <v>6365</v>
      </c>
      <c r="E16" s="19">
        <v>7.2090281286845206E-2</v>
      </c>
    </row>
    <row r="17" spans="1:5" ht="16.05" customHeight="1">
      <c r="A17" s="17">
        <v>13</v>
      </c>
      <c r="B17" s="36" t="s">
        <v>85</v>
      </c>
      <c r="C17" s="25">
        <v>5522</v>
      </c>
      <c r="D17" s="25">
        <v>5902</v>
      </c>
      <c r="E17" s="20">
        <v>6.8815646504889527E-2</v>
      </c>
    </row>
    <row r="18" spans="1:5" ht="20.25" customHeight="1">
      <c r="A18" s="93" t="s">
        <v>48</v>
      </c>
      <c r="B18" s="94"/>
      <c r="C18" s="29">
        <v>684506</v>
      </c>
      <c r="D18" s="29">
        <v>724458</v>
      </c>
      <c r="E18" s="31">
        <v>5.8366179405293747E-2</v>
      </c>
    </row>
    <row r="19" spans="1:5" ht="13.95" customHeight="1">
      <c r="A19" s="81" t="s">
        <v>114</v>
      </c>
      <c r="B19" s="81"/>
      <c r="C19" s="81"/>
      <c r="D19" s="81"/>
      <c r="E19" s="35" t="s">
        <v>115</v>
      </c>
    </row>
    <row r="20" spans="1:5">
      <c r="A20" s="98"/>
      <c r="B20" s="98"/>
      <c r="C20" s="98"/>
      <c r="D20" s="98"/>
    </row>
    <row r="21" spans="1:5">
      <c r="C21" s="43"/>
    </row>
  </sheetData>
  <mergeCells count="4">
    <mergeCell ref="A2:E2"/>
    <mergeCell ref="A4:B4"/>
    <mergeCell ref="A18:B18"/>
    <mergeCell ref="A19:D20"/>
  </mergeCells>
  <hyperlinks>
    <hyperlink ref="E19" location="'Main menu'!A1" display="Back to main menu" xr:uid="{AEEB5E5E-4CB8-4765-9C05-8536616DA6F5}"/>
  </hyperlink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CE0EA-1466-4D9C-AE98-174684341C2D}">
  <sheetPr>
    <tabColor theme="3" tint="0.39997558519241921"/>
  </sheetPr>
  <dimension ref="A1:N21"/>
  <sheetViews>
    <sheetView showGridLines="0" view="pageBreakPreview" zoomScaleNormal="100" zoomScaleSheetLayoutView="100" workbookViewId="0">
      <selection activeCell="E25" sqref="E25"/>
    </sheetView>
  </sheetViews>
  <sheetFormatPr defaultRowHeight="14.4"/>
  <cols>
    <col min="1" max="1" width="7.5546875" customWidth="1"/>
    <col min="2" max="2" width="23.77734375" customWidth="1"/>
    <col min="3" max="4" width="15.44140625" customWidth="1"/>
    <col min="5" max="5" width="20.44140625" customWidth="1"/>
    <col min="6" max="6" width="34.109375" customWidth="1"/>
    <col min="7" max="9" width="15.44140625" customWidth="1"/>
    <col min="10" max="10" width="21.44140625" customWidth="1"/>
    <col min="11" max="14" width="15.44140625" customWidth="1"/>
  </cols>
  <sheetData>
    <row r="1" spans="1:14" ht="47.55" customHeight="1"/>
    <row r="2" spans="1:14" ht="38.549999999999997" customHeight="1">
      <c r="A2" s="95" t="s">
        <v>137</v>
      </c>
      <c r="B2" s="95"/>
      <c r="C2" s="95"/>
      <c r="D2" s="95"/>
      <c r="E2" s="95"/>
      <c r="F2" s="38"/>
      <c r="G2" s="38"/>
      <c r="H2" s="38"/>
      <c r="I2" s="38"/>
      <c r="J2" s="38"/>
      <c r="K2" s="38"/>
      <c r="L2" s="38"/>
      <c r="M2" s="38"/>
      <c r="N2" s="38"/>
    </row>
    <row r="3" spans="1:14">
      <c r="A3" s="14" t="s">
        <v>122</v>
      </c>
    </row>
    <row r="4" spans="1:14" ht="35.25" customHeight="1">
      <c r="A4" s="91" t="s">
        <v>119</v>
      </c>
      <c r="B4" s="92"/>
      <c r="C4" s="15" t="s">
        <v>111</v>
      </c>
      <c r="D4" s="15" t="s">
        <v>112</v>
      </c>
      <c r="E4" s="15" t="s">
        <v>120</v>
      </c>
    </row>
    <row r="5" spans="1:14" ht="16.05" customHeight="1">
      <c r="A5" s="17">
        <v>1</v>
      </c>
      <c r="B5" s="36" t="s">
        <v>73</v>
      </c>
      <c r="C5" s="25">
        <v>314377</v>
      </c>
      <c r="D5" s="25">
        <v>320617</v>
      </c>
      <c r="E5" s="20">
        <v>1.9848780286089631E-2</v>
      </c>
      <c r="F5" s="39"/>
    </row>
    <row r="6" spans="1:14" ht="16.05" customHeight="1">
      <c r="A6" s="18">
        <v>2</v>
      </c>
      <c r="B6" s="37" t="s">
        <v>74</v>
      </c>
      <c r="C6" s="26">
        <v>261549</v>
      </c>
      <c r="D6" s="26">
        <v>268954</v>
      </c>
      <c r="E6" s="19">
        <v>2.8312094483251705E-2</v>
      </c>
      <c r="F6" s="39"/>
    </row>
    <row r="7" spans="1:14" ht="16.05" customHeight="1">
      <c r="A7" s="17">
        <v>3</v>
      </c>
      <c r="B7" s="36" t="s">
        <v>75</v>
      </c>
      <c r="C7" s="25">
        <v>137444</v>
      </c>
      <c r="D7" s="25">
        <v>146902</v>
      </c>
      <c r="E7" s="20">
        <v>6.8813480399289889E-2</v>
      </c>
    </row>
    <row r="8" spans="1:14" ht="16.05" customHeight="1">
      <c r="A8" s="18">
        <v>4</v>
      </c>
      <c r="B8" s="37" t="s">
        <v>76</v>
      </c>
      <c r="C8" s="26">
        <v>50885</v>
      </c>
      <c r="D8" s="26">
        <v>56998</v>
      </c>
      <c r="E8" s="19">
        <v>0.12013363466640464</v>
      </c>
    </row>
    <row r="9" spans="1:14" ht="16.05" customHeight="1">
      <c r="A9" s="17">
        <v>5</v>
      </c>
      <c r="B9" s="36" t="s">
        <v>77</v>
      </c>
      <c r="C9" s="25">
        <v>44713</v>
      </c>
      <c r="D9" s="25">
        <v>46522</v>
      </c>
      <c r="E9" s="20">
        <v>4.0458032339588036E-2</v>
      </c>
    </row>
    <row r="10" spans="1:14" ht="16.05" customHeight="1">
      <c r="A10" s="18">
        <v>6</v>
      </c>
      <c r="B10" s="37" t="s">
        <v>78</v>
      </c>
      <c r="C10" s="26">
        <v>26434</v>
      </c>
      <c r="D10" s="26">
        <v>27523</v>
      </c>
      <c r="E10" s="19">
        <v>4.1196943330559128E-2</v>
      </c>
    </row>
    <row r="11" spans="1:14" ht="16.05" customHeight="1">
      <c r="A11" s="17">
        <v>7</v>
      </c>
      <c r="B11" s="36" t="s">
        <v>79</v>
      </c>
      <c r="C11" s="25">
        <v>31121</v>
      </c>
      <c r="D11" s="25">
        <v>32187</v>
      </c>
      <c r="E11" s="20">
        <v>3.4253398027055688E-2</v>
      </c>
    </row>
    <row r="12" spans="1:14" ht="16.05" customHeight="1">
      <c r="A12" s="18">
        <v>8</v>
      </c>
      <c r="B12" s="37" t="s">
        <v>80</v>
      </c>
      <c r="C12" s="26">
        <v>18824</v>
      </c>
      <c r="D12" s="26">
        <v>21618</v>
      </c>
      <c r="E12" s="19">
        <v>0.14842753931151723</v>
      </c>
    </row>
    <row r="13" spans="1:14" ht="16.05" customHeight="1">
      <c r="A13" s="17">
        <v>9</v>
      </c>
      <c r="B13" s="36" t="s">
        <v>81</v>
      </c>
      <c r="C13" s="25">
        <v>13004</v>
      </c>
      <c r="D13" s="25">
        <v>12477</v>
      </c>
      <c r="E13" s="20">
        <v>-4.0525992002460778E-2</v>
      </c>
    </row>
    <row r="14" spans="1:14" ht="16.05" customHeight="1">
      <c r="A14" s="18">
        <v>10</v>
      </c>
      <c r="B14" s="37" t="s">
        <v>82</v>
      </c>
      <c r="C14" s="26">
        <v>7868</v>
      </c>
      <c r="D14" s="26">
        <v>8023</v>
      </c>
      <c r="E14" s="19">
        <v>1.9700050838840875E-2</v>
      </c>
    </row>
    <row r="15" spans="1:14" ht="16.05" customHeight="1">
      <c r="A15" s="17">
        <v>11</v>
      </c>
      <c r="B15" s="36" t="s">
        <v>83</v>
      </c>
      <c r="C15" s="25">
        <v>9655</v>
      </c>
      <c r="D15" s="25">
        <v>10419</v>
      </c>
      <c r="E15" s="20">
        <v>7.9129984464008291E-2</v>
      </c>
    </row>
    <row r="16" spans="1:14" ht="16.05" customHeight="1">
      <c r="A16" s="18">
        <v>12</v>
      </c>
      <c r="B16" s="37" t="s">
        <v>84</v>
      </c>
      <c r="C16" s="26">
        <v>6800</v>
      </c>
      <c r="D16" s="26">
        <v>7252</v>
      </c>
      <c r="E16" s="19">
        <v>6.6470588235294115E-2</v>
      </c>
    </row>
    <row r="17" spans="1:5" ht="16.05" customHeight="1">
      <c r="A17" s="17">
        <v>13</v>
      </c>
      <c r="B17" s="36" t="s">
        <v>85</v>
      </c>
      <c r="C17" s="25">
        <v>6730</v>
      </c>
      <c r="D17" s="25">
        <v>7039</v>
      </c>
      <c r="E17" s="20">
        <v>4.5913818722139677E-2</v>
      </c>
    </row>
    <row r="18" spans="1:5" ht="20.25" customHeight="1">
      <c r="A18" s="93" t="s">
        <v>48</v>
      </c>
      <c r="B18" s="94"/>
      <c r="C18" s="29">
        <v>929404</v>
      </c>
      <c r="D18" s="29">
        <v>966531</v>
      </c>
      <c r="E18" s="31">
        <v>3.9947105887213744E-2</v>
      </c>
    </row>
    <row r="19" spans="1:5" ht="13.95" customHeight="1">
      <c r="A19" s="81" t="s">
        <v>114</v>
      </c>
      <c r="B19" s="81"/>
      <c r="C19" s="81"/>
      <c r="D19" s="81"/>
      <c r="E19" s="35" t="s">
        <v>115</v>
      </c>
    </row>
    <row r="20" spans="1:5">
      <c r="A20" s="98"/>
      <c r="B20" s="98"/>
      <c r="C20" s="98"/>
      <c r="D20" s="98"/>
    </row>
    <row r="21" spans="1:5">
      <c r="C21" s="43"/>
    </row>
  </sheetData>
  <mergeCells count="4">
    <mergeCell ref="A2:E2"/>
    <mergeCell ref="A4:B4"/>
    <mergeCell ref="A18:B18"/>
    <mergeCell ref="A19:D20"/>
  </mergeCells>
  <hyperlinks>
    <hyperlink ref="E19" location="'Main menu'!A1" display="Back to main menu" xr:uid="{55F7AF52-ABE2-4790-9A08-CDF99E3BD62E}"/>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016B-E5F5-4602-A39A-38D322439C4E}">
  <sheetPr>
    <tabColor theme="3"/>
  </sheetPr>
  <dimension ref="A1:G11"/>
  <sheetViews>
    <sheetView showGridLines="0" view="pageBreakPreview" zoomScaleNormal="100" zoomScaleSheetLayoutView="100" workbookViewId="0">
      <selection activeCell="B17" sqref="B17"/>
    </sheetView>
  </sheetViews>
  <sheetFormatPr defaultColWidth="8.77734375" defaultRowHeight="14.4"/>
  <cols>
    <col min="1" max="1" width="31.44140625" customWidth="1"/>
    <col min="2" max="2" width="19" customWidth="1"/>
    <col min="3" max="3" width="20.33203125" customWidth="1"/>
    <col min="4" max="4" width="15.77734375" customWidth="1"/>
    <col min="5" max="7" width="14.44140625" customWidth="1"/>
  </cols>
  <sheetData>
    <row r="1" spans="1:7" ht="38.1" customHeight="1"/>
    <row r="2" spans="1:7" ht="46.05" customHeight="1">
      <c r="A2" s="83" t="s">
        <v>149</v>
      </c>
      <c r="B2" s="83"/>
      <c r="C2" s="83"/>
      <c r="D2" s="83"/>
      <c r="E2" s="38"/>
      <c r="F2" s="38"/>
      <c r="G2" s="38"/>
    </row>
    <row r="3" spans="1:7">
      <c r="A3" s="21" t="s">
        <v>92</v>
      </c>
    </row>
    <row r="4" spans="1:7" ht="35.1" customHeight="1">
      <c r="A4" s="51" t="s">
        <v>152</v>
      </c>
      <c r="B4" s="44" t="s">
        <v>125</v>
      </c>
      <c r="C4" s="44" t="s">
        <v>127</v>
      </c>
      <c r="D4" s="44" t="s">
        <v>48</v>
      </c>
    </row>
    <row r="5" spans="1:7" ht="16.05" customHeight="1">
      <c r="A5" s="36" t="s">
        <v>142</v>
      </c>
      <c r="B5" s="52">
        <v>1161</v>
      </c>
      <c r="C5" s="52">
        <v>1182</v>
      </c>
      <c r="D5" s="52">
        <f>B5+C5</f>
        <v>2343</v>
      </c>
    </row>
    <row r="6" spans="1:7" ht="16.05" customHeight="1">
      <c r="A6" s="37" t="s">
        <v>153</v>
      </c>
      <c r="B6" s="53">
        <v>1441</v>
      </c>
      <c r="C6" s="53">
        <v>1361</v>
      </c>
      <c r="D6" s="53">
        <f t="shared" ref="D6:D8" si="0">B6+C6</f>
        <v>2802</v>
      </c>
    </row>
    <row r="7" spans="1:7" ht="20.100000000000001" customHeight="1">
      <c r="A7" s="36" t="s">
        <v>154</v>
      </c>
      <c r="B7" s="52">
        <v>1696</v>
      </c>
      <c r="C7" s="52">
        <v>1675</v>
      </c>
      <c r="D7" s="52">
        <f t="shared" si="0"/>
        <v>3371</v>
      </c>
    </row>
    <row r="8" spans="1:7" ht="20.100000000000001" customHeight="1">
      <c r="A8" s="37" t="s">
        <v>112</v>
      </c>
      <c r="B8" s="53">
        <v>1971</v>
      </c>
      <c r="C8" s="53">
        <v>2027</v>
      </c>
      <c r="D8" s="53">
        <f t="shared" si="0"/>
        <v>3998</v>
      </c>
    </row>
    <row r="9" spans="1:7" ht="20.100000000000001" customHeight="1">
      <c r="A9" s="36" t="s">
        <v>143</v>
      </c>
      <c r="B9" s="52">
        <v>2163</v>
      </c>
      <c r="C9" s="52">
        <v>2262</v>
      </c>
      <c r="D9" s="52">
        <v>4425</v>
      </c>
    </row>
    <row r="10" spans="1:7" ht="15.6" customHeight="1">
      <c r="A10" s="84" t="s">
        <v>148</v>
      </c>
      <c r="B10" s="85"/>
      <c r="C10" s="78" t="s">
        <v>24</v>
      </c>
      <c r="D10" s="79"/>
    </row>
    <row r="11" spans="1:7">
      <c r="C11" s="6"/>
      <c r="D11" s="6"/>
    </row>
  </sheetData>
  <mergeCells count="3">
    <mergeCell ref="A2:D2"/>
    <mergeCell ref="A10:B10"/>
    <mergeCell ref="C10:D10"/>
  </mergeCells>
  <hyperlinks>
    <hyperlink ref="C10" location="'Content'!A1" display="العودة للقائمة الرئيسية" xr:uid="{FCD64679-50AA-4A97-A76A-BD0BFEFF0485}"/>
  </hyperlinks>
  <pageMargins left="0.7" right="0.7" top="0.75" bottom="0.75" header="0.3" footer="0.3"/>
  <pageSetup scale="87" orientation="portrait" r:id="rId1"/>
  <headerFooter>
    <oddFooter>&amp;C_x000D_&amp;1#&amp;"Calibri"&amp;11&amp;Kffa500 CONFIDENTIAL▮▮مقيّد</oddFooter>
  </headerFooter>
  <colBreaks count="1" manualBreakCount="1">
    <brk id="4" max="1048575"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30C1A-2CED-45F7-8712-F5DCE64DB218}">
  <sheetPr>
    <tabColor theme="9" tint="-0.249977111117893"/>
  </sheetPr>
  <dimension ref="A1:E6"/>
  <sheetViews>
    <sheetView topLeftCell="J1" zoomScale="80" zoomScaleNormal="80" workbookViewId="0">
      <selection activeCell="F5" sqref="F5"/>
    </sheetView>
  </sheetViews>
  <sheetFormatPr defaultColWidth="42.33203125" defaultRowHeight="14.4"/>
  <sheetData>
    <row r="1" spans="1:5">
      <c r="A1" s="59" t="s">
        <v>152</v>
      </c>
      <c r="B1" s="54" t="s">
        <v>125</v>
      </c>
      <c r="C1" s="73" t="s">
        <v>127</v>
      </c>
      <c r="D1" s="55" t="s">
        <v>48</v>
      </c>
      <c r="E1" s="65" t="s">
        <v>156</v>
      </c>
    </row>
    <row r="2" spans="1:5">
      <c r="A2" s="60" t="s">
        <v>142</v>
      </c>
      <c r="B2" s="56">
        <v>1161</v>
      </c>
      <c r="C2" s="56">
        <v>1182</v>
      </c>
      <c r="D2" s="56">
        <f>B2+C2</f>
        <v>2343</v>
      </c>
      <c r="E2" s="61">
        <f>(D3-D2)/D2</f>
        <v>0.19590268886043533</v>
      </c>
    </row>
    <row r="3" spans="1:5">
      <c r="A3" s="62" t="s">
        <v>153</v>
      </c>
      <c r="B3" s="57">
        <v>1441</v>
      </c>
      <c r="C3" s="57">
        <v>1361</v>
      </c>
      <c r="D3" s="57">
        <f>B3+C3</f>
        <v>2802</v>
      </c>
      <c r="E3" s="61">
        <f t="shared" ref="E3:E5" si="0">(D4-D3)/D3</f>
        <v>0.20306923625981441</v>
      </c>
    </row>
    <row r="4" spans="1:5">
      <c r="A4" s="60" t="s">
        <v>154</v>
      </c>
      <c r="B4" s="56">
        <v>1696</v>
      </c>
      <c r="C4" s="56">
        <v>1675</v>
      </c>
      <c r="D4" s="56">
        <f>B4+C4</f>
        <v>3371</v>
      </c>
      <c r="E4" s="61">
        <f t="shared" si="0"/>
        <v>0.18599822011272618</v>
      </c>
    </row>
    <row r="5" spans="1:5">
      <c r="A5" s="62" t="s">
        <v>112</v>
      </c>
      <c r="B5" s="57">
        <v>1971</v>
      </c>
      <c r="C5" s="57">
        <v>2027</v>
      </c>
      <c r="D5" s="57">
        <f>B5+C5</f>
        <v>3998</v>
      </c>
      <c r="E5" s="61">
        <f t="shared" si="0"/>
        <v>0.10680340170085043</v>
      </c>
    </row>
    <row r="6" spans="1:5">
      <c r="A6" s="63" t="s">
        <v>143</v>
      </c>
      <c r="B6" s="58">
        <v>2163</v>
      </c>
      <c r="C6" s="58">
        <v>2262</v>
      </c>
      <c r="D6" s="58">
        <v>4425</v>
      </c>
      <c r="E6" s="67"/>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D24A-F824-4B3B-A06F-21A966CD5D35}">
  <sheetPr>
    <tabColor theme="3"/>
  </sheetPr>
  <dimension ref="A1:F18"/>
  <sheetViews>
    <sheetView showGridLines="0" view="pageBreakPreview" zoomScaleNormal="100" zoomScaleSheetLayoutView="100" workbookViewId="0">
      <selection activeCell="A3" sqref="A3"/>
    </sheetView>
  </sheetViews>
  <sheetFormatPr defaultColWidth="8.77734375" defaultRowHeight="14.4"/>
  <cols>
    <col min="1" max="1" width="7.44140625" customWidth="1"/>
    <col min="2" max="2" width="23.77734375" customWidth="1"/>
    <col min="3" max="5" width="14.44140625" customWidth="1"/>
    <col min="6" max="6" width="14.77734375" customWidth="1"/>
  </cols>
  <sheetData>
    <row r="1" spans="1:6" ht="44.55" customHeight="1"/>
    <row r="2" spans="1:6" ht="46.05" customHeight="1">
      <c r="A2" s="95" t="s">
        <v>107</v>
      </c>
      <c r="B2" s="95"/>
      <c r="C2" s="95"/>
      <c r="D2" s="95"/>
      <c r="E2" s="95"/>
      <c r="F2" s="95"/>
    </row>
    <row r="3" spans="1:6">
      <c r="A3" s="14" t="s">
        <v>98</v>
      </c>
    </row>
    <row r="4" spans="1:6" ht="35.1" customHeight="1">
      <c r="A4" s="91" t="s">
        <v>71</v>
      </c>
      <c r="B4" s="92"/>
      <c r="C4" s="24" t="s">
        <v>93</v>
      </c>
      <c r="D4" s="24" t="s">
        <v>94</v>
      </c>
      <c r="E4" s="24" t="s">
        <v>95</v>
      </c>
      <c r="F4" s="24" t="s">
        <v>96</v>
      </c>
    </row>
    <row r="5" spans="1:6" ht="16.05" customHeight="1">
      <c r="A5" s="17">
        <v>1</v>
      </c>
      <c r="B5" s="36" t="s">
        <v>73</v>
      </c>
      <c r="C5" s="20">
        <v>0.68853826712143895</v>
      </c>
      <c r="D5" s="20">
        <v>0.73203141927598048</v>
      </c>
      <c r="E5" s="20">
        <v>0.72485024169487078</v>
      </c>
      <c r="F5" s="20">
        <v>0.71527329697919528</v>
      </c>
    </row>
    <row r="6" spans="1:6" ht="16.05" customHeight="1">
      <c r="A6" s="18">
        <v>2</v>
      </c>
      <c r="B6" s="37" t="s">
        <v>74</v>
      </c>
      <c r="C6" s="19">
        <v>0.43852275528820078</v>
      </c>
      <c r="D6" s="19">
        <v>0.50179284766949661</v>
      </c>
      <c r="E6" s="19">
        <v>0.46639950620691201</v>
      </c>
      <c r="F6" s="19">
        <v>0.46878632147128219</v>
      </c>
    </row>
    <row r="7" spans="1:6" ht="16.05" customHeight="1">
      <c r="A7" s="17">
        <v>3</v>
      </c>
      <c r="B7" s="36" t="s">
        <v>75</v>
      </c>
      <c r="C7" s="20">
        <v>0.57463938547184668</v>
      </c>
      <c r="D7" s="20">
        <v>0.63652283533619258</v>
      </c>
      <c r="E7" s="20">
        <v>0.57801916632001948</v>
      </c>
      <c r="F7" s="20">
        <v>0.59599475437523031</v>
      </c>
    </row>
    <row r="8" spans="1:6" ht="16.05" customHeight="1">
      <c r="A8" s="18">
        <v>4</v>
      </c>
      <c r="B8" s="37" t="s">
        <v>76</v>
      </c>
      <c r="C8" s="19">
        <v>0.4120259587899554</v>
      </c>
      <c r="D8" s="19">
        <v>0.53445298294026811</v>
      </c>
      <c r="E8" s="19">
        <v>0.51242922248308242</v>
      </c>
      <c r="F8" s="19">
        <v>0.48726164426383245</v>
      </c>
    </row>
    <row r="9" spans="1:6" ht="16.05" customHeight="1">
      <c r="A9" s="17">
        <v>5</v>
      </c>
      <c r="B9" s="36" t="s">
        <v>77</v>
      </c>
      <c r="C9" s="20">
        <v>0.38266167733783668</v>
      </c>
      <c r="D9" s="20">
        <v>0.42068103485616343</v>
      </c>
      <c r="E9" s="20">
        <v>0.39496428651396071</v>
      </c>
      <c r="F9" s="20">
        <v>0.39918473901150597</v>
      </c>
    </row>
    <row r="10" spans="1:6" ht="16.05" customHeight="1">
      <c r="A10" s="18">
        <v>6</v>
      </c>
      <c r="B10" s="37" t="s">
        <v>78</v>
      </c>
      <c r="C10" s="19">
        <v>0.46409803629555563</v>
      </c>
      <c r="D10" s="19">
        <v>0.53501847045266071</v>
      </c>
      <c r="E10" s="19">
        <v>0.50994504056529699</v>
      </c>
      <c r="F10" s="19">
        <v>0.50302058329227861</v>
      </c>
    </row>
    <row r="11" spans="1:6" ht="16.05" customHeight="1">
      <c r="A11" s="17">
        <v>7</v>
      </c>
      <c r="B11" s="36" t="s">
        <v>79</v>
      </c>
      <c r="C11" s="20">
        <v>0.4806609986827925</v>
      </c>
      <c r="D11" s="20">
        <v>0.56344037473898079</v>
      </c>
      <c r="E11" s="20">
        <v>0.48473453015488921</v>
      </c>
      <c r="F11" s="20">
        <v>0.50897688823250642</v>
      </c>
    </row>
    <row r="12" spans="1:6" ht="16.05" customHeight="1">
      <c r="A12" s="18">
        <v>8</v>
      </c>
      <c r="B12" s="37" t="s">
        <v>80</v>
      </c>
      <c r="C12" s="19">
        <v>0.51037423185804043</v>
      </c>
      <c r="D12" s="19">
        <v>0.54077646311145999</v>
      </c>
      <c r="E12" s="19">
        <v>0.49088162296320276</v>
      </c>
      <c r="F12" s="19">
        <v>0.51362305652176521</v>
      </c>
    </row>
    <row r="13" spans="1:6" ht="16.05" customHeight="1">
      <c r="A13" s="17">
        <v>9</v>
      </c>
      <c r="B13" s="36" t="s">
        <v>81</v>
      </c>
      <c r="C13" s="20">
        <v>0.52121298659574844</v>
      </c>
      <c r="D13" s="20">
        <v>0.61938517686692873</v>
      </c>
      <c r="E13" s="20">
        <v>0.51797687299582162</v>
      </c>
      <c r="F13" s="20">
        <v>0.55208422739106799</v>
      </c>
    </row>
    <row r="14" spans="1:6" ht="16.05" customHeight="1">
      <c r="A14" s="18">
        <v>10</v>
      </c>
      <c r="B14" s="37" t="s">
        <v>82</v>
      </c>
      <c r="C14" s="19">
        <v>0.41650242369360252</v>
      </c>
      <c r="D14" s="19">
        <v>0.44727900329000592</v>
      </c>
      <c r="E14" s="19">
        <v>0.40115951955771911</v>
      </c>
      <c r="F14" s="19">
        <v>0.42095284268485894</v>
      </c>
    </row>
    <row r="15" spans="1:6" ht="16.05" customHeight="1">
      <c r="A15" s="17">
        <v>11</v>
      </c>
      <c r="B15" s="36" t="s">
        <v>83</v>
      </c>
      <c r="C15" s="20">
        <v>0.57103876356516492</v>
      </c>
      <c r="D15" s="20">
        <v>0.59194311762524809</v>
      </c>
      <c r="E15" s="20">
        <v>0.56674846625766873</v>
      </c>
      <c r="F15" s="20">
        <v>0.57628294036061023</v>
      </c>
    </row>
    <row r="16" spans="1:6" ht="16.05" customHeight="1">
      <c r="A16" s="18">
        <v>12</v>
      </c>
      <c r="B16" s="37" t="s">
        <v>84</v>
      </c>
      <c r="C16" s="19">
        <v>0.45293634978314384</v>
      </c>
      <c r="D16" s="19">
        <v>0.44871718554675871</v>
      </c>
      <c r="E16" s="19">
        <v>0.40137211543913365</v>
      </c>
      <c r="F16" s="19">
        <v>0.43390034564449104</v>
      </c>
    </row>
    <row r="17" spans="1:6" ht="16.05" customHeight="1">
      <c r="A17" s="17">
        <v>13</v>
      </c>
      <c r="B17" s="36" t="s">
        <v>85</v>
      </c>
      <c r="C17" s="20">
        <v>0.28354141894569956</v>
      </c>
      <c r="D17" s="20">
        <v>0.31157035020418267</v>
      </c>
      <c r="E17" s="20">
        <v>0.28221836084564145</v>
      </c>
      <c r="F17" s="20">
        <v>0.29235980983397297</v>
      </c>
    </row>
    <row r="18" spans="1:6" ht="15.6" customHeight="1">
      <c r="A18" s="84" t="s">
        <v>148</v>
      </c>
      <c r="B18" s="85"/>
      <c r="C18" s="85"/>
      <c r="D18" s="85"/>
      <c r="E18" s="78" t="s">
        <v>24</v>
      </c>
      <c r="F18" s="79"/>
    </row>
  </sheetData>
  <mergeCells count="4">
    <mergeCell ref="A4:B4"/>
    <mergeCell ref="A2:F2"/>
    <mergeCell ref="A18:D18"/>
    <mergeCell ref="E18:F18"/>
  </mergeCells>
  <hyperlinks>
    <hyperlink ref="E18" location="'Content'!A1" display="العودة للقائمة الرئيسية" xr:uid="{3B453B38-CA24-467B-99CB-B8A14FC0B526}"/>
  </hyperlinks>
  <pageMargins left="0.7" right="0.7" top="0.75" bottom="0.75" header="0.3" footer="0.3"/>
  <pageSetup scale="9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9C13-CE0E-45C3-B51E-FA314EFA5398}">
  <sheetPr>
    <tabColor theme="3"/>
  </sheetPr>
  <dimension ref="A1:F24"/>
  <sheetViews>
    <sheetView showGridLines="0" view="pageBreakPreview" zoomScaleNormal="100" zoomScaleSheetLayoutView="100" workbookViewId="0">
      <selection activeCell="A3" sqref="A3"/>
    </sheetView>
  </sheetViews>
  <sheetFormatPr defaultColWidth="8.77734375" defaultRowHeight="14.4"/>
  <cols>
    <col min="1" max="1" width="7.44140625" customWidth="1"/>
    <col min="2" max="2" width="23.77734375" customWidth="1"/>
    <col min="3" max="6" width="14.44140625" customWidth="1"/>
  </cols>
  <sheetData>
    <row r="1" spans="1:6" ht="41.1" customHeight="1"/>
    <row r="2" spans="1:6" ht="46.05" customHeight="1">
      <c r="A2" s="95" t="s">
        <v>97</v>
      </c>
      <c r="B2" s="95"/>
      <c r="C2" s="95"/>
      <c r="D2" s="95"/>
      <c r="E2" s="95"/>
      <c r="F2" s="95"/>
    </row>
    <row r="3" spans="1:6">
      <c r="A3" s="14" t="s">
        <v>100</v>
      </c>
    </row>
    <row r="4" spans="1:6" ht="35.1" customHeight="1">
      <c r="A4" s="91" t="s">
        <v>71</v>
      </c>
      <c r="B4" s="92"/>
      <c r="C4" s="24" t="s">
        <v>93</v>
      </c>
      <c r="D4" s="24" t="s">
        <v>94</v>
      </c>
      <c r="E4" s="24" t="s">
        <v>95</v>
      </c>
      <c r="F4" s="24" t="s">
        <v>96</v>
      </c>
    </row>
    <row r="5" spans="1:6" ht="16.05" customHeight="1">
      <c r="A5" s="17">
        <v>1</v>
      </c>
      <c r="B5" s="36" t="s">
        <v>73</v>
      </c>
      <c r="C5" s="20">
        <v>0.70948384734376047</v>
      </c>
      <c r="D5" s="20">
        <v>0.7627685100120345</v>
      </c>
      <c r="E5" s="20">
        <v>0.69002102007222132</v>
      </c>
      <c r="F5" s="20">
        <v>0.72035532272075742</v>
      </c>
    </row>
    <row r="6" spans="1:6" ht="16.05" customHeight="1">
      <c r="A6" s="18">
        <v>2</v>
      </c>
      <c r="B6" s="37" t="s">
        <v>74</v>
      </c>
      <c r="C6" s="19">
        <v>0.43922425130401282</v>
      </c>
      <c r="D6" s="19">
        <v>0.49902244739352775</v>
      </c>
      <c r="E6" s="19">
        <v>0.53415443927227424</v>
      </c>
      <c r="F6" s="19">
        <v>0.49327017110694671</v>
      </c>
    </row>
    <row r="7" spans="1:6" ht="16.05" customHeight="1">
      <c r="A7" s="17">
        <v>3</v>
      </c>
      <c r="B7" s="36" t="s">
        <v>75</v>
      </c>
      <c r="C7" s="20">
        <v>0.58683077768646796</v>
      </c>
      <c r="D7" s="20">
        <v>0.66215518185944833</v>
      </c>
      <c r="E7" s="20">
        <v>0.55868520105839825</v>
      </c>
      <c r="F7" s="20">
        <v>0.6019002693565676</v>
      </c>
    </row>
    <row r="8" spans="1:6" ht="16.05" customHeight="1">
      <c r="A8" s="18">
        <v>4</v>
      </c>
      <c r="B8" s="37" t="s">
        <v>76</v>
      </c>
      <c r="C8" s="19">
        <v>0.67539157613832035</v>
      </c>
      <c r="D8" s="19">
        <v>0.7718386900206673</v>
      </c>
      <c r="E8" s="19">
        <v>0.79260990247227658</v>
      </c>
      <c r="F8" s="19">
        <v>0.74774153326100845</v>
      </c>
    </row>
    <row r="9" spans="1:6" ht="16.05" customHeight="1">
      <c r="A9" s="17">
        <v>5</v>
      </c>
      <c r="B9" s="36" t="s">
        <v>77</v>
      </c>
      <c r="C9" s="20">
        <v>0.34563030450934135</v>
      </c>
      <c r="D9" s="20">
        <v>0.38566426364572604</v>
      </c>
      <c r="E9" s="20">
        <v>0.31560384110393119</v>
      </c>
      <c r="F9" s="20">
        <v>0.34822913554704393</v>
      </c>
    </row>
    <row r="10" spans="1:6" ht="16.05" customHeight="1">
      <c r="A10" s="18">
        <v>6</v>
      </c>
      <c r="B10" s="37" t="s">
        <v>78</v>
      </c>
      <c r="C10" s="19">
        <v>0.4039856557377049</v>
      </c>
      <c r="D10" s="19">
        <v>0.46935999455893357</v>
      </c>
      <c r="E10" s="19">
        <v>0.45541404236712596</v>
      </c>
      <c r="F10" s="19">
        <v>0.44377779942209666</v>
      </c>
    </row>
    <row r="11" spans="1:6" ht="16.05" customHeight="1">
      <c r="A11" s="17">
        <v>7</v>
      </c>
      <c r="B11" s="36" t="s">
        <v>79</v>
      </c>
      <c r="C11" s="20">
        <v>0.45856016280844569</v>
      </c>
      <c r="D11" s="20">
        <v>0.52897849862361435</v>
      </c>
      <c r="E11" s="20">
        <v>0.41091282817901525</v>
      </c>
      <c r="F11" s="20">
        <v>0.46509044877291844</v>
      </c>
    </row>
    <row r="12" spans="1:6" ht="16.05" customHeight="1">
      <c r="A12" s="18">
        <v>8</v>
      </c>
      <c r="B12" s="37" t="s">
        <v>80</v>
      </c>
      <c r="C12" s="19">
        <v>0.48302544042486367</v>
      </c>
      <c r="D12" s="19">
        <v>0.46938614174473298</v>
      </c>
      <c r="E12" s="19">
        <v>0.41898261985582519</v>
      </c>
      <c r="F12" s="19">
        <v>0.45522733021097711</v>
      </c>
    </row>
    <row r="13" spans="1:6" ht="16.05" customHeight="1">
      <c r="A13" s="17">
        <v>9</v>
      </c>
      <c r="B13" s="36" t="s">
        <v>81</v>
      </c>
      <c r="C13" s="20">
        <v>0.33566406700218987</v>
      </c>
      <c r="D13" s="20">
        <v>0.51664038173804039</v>
      </c>
      <c r="E13" s="20">
        <v>0.43121605667060214</v>
      </c>
      <c r="F13" s="20">
        <v>0.42600753478931785</v>
      </c>
    </row>
    <row r="14" spans="1:6" ht="16.05" customHeight="1">
      <c r="A14" s="18">
        <v>10</v>
      </c>
      <c r="B14" s="37" t="s">
        <v>82</v>
      </c>
      <c r="C14" s="19">
        <v>0.37853375527426159</v>
      </c>
      <c r="D14" s="19">
        <v>0.42313290784906504</v>
      </c>
      <c r="E14" s="19">
        <v>0.35602457921453379</v>
      </c>
      <c r="F14" s="19">
        <v>0.38529268775771108</v>
      </c>
    </row>
    <row r="15" spans="1:6" ht="16.05" customHeight="1">
      <c r="A15" s="17">
        <v>11</v>
      </c>
      <c r="B15" s="36" t="s">
        <v>83</v>
      </c>
      <c r="C15" s="20">
        <v>0.40938719013464198</v>
      </c>
      <c r="D15" s="20">
        <v>0.42540646326776393</v>
      </c>
      <c r="E15" s="20">
        <v>0.41430908961559437</v>
      </c>
      <c r="F15" s="20">
        <v>0.41633541392904072</v>
      </c>
    </row>
    <row r="16" spans="1:6" ht="16.05" customHeight="1">
      <c r="A16" s="18">
        <v>12</v>
      </c>
      <c r="B16" s="37" t="s">
        <v>84</v>
      </c>
      <c r="C16" s="19">
        <v>0.43042108278430247</v>
      </c>
      <c r="D16" s="19">
        <v>0.4543035141837537</v>
      </c>
      <c r="E16" s="19">
        <v>0.47069876688197299</v>
      </c>
      <c r="F16" s="19">
        <v>0.4516053157709044</v>
      </c>
    </row>
    <row r="17" spans="1:6" ht="16.05" customHeight="1">
      <c r="A17" s="17">
        <v>13</v>
      </c>
      <c r="B17" s="36" t="s">
        <v>85</v>
      </c>
      <c r="C17" s="20">
        <v>0.26206119767223579</v>
      </c>
      <c r="D17" s="20">
        <v>0.28802416488983651</v>
      </c>
      <c r="E17" s="20">
        <v>0.254157170591711</v>
      </c>
      <c r="F17" s="20">
        <v>0.2679444263412033</v>
      </c>
    </row>
    <row r="18" spans="1:6" ht="15.6" customHeight="1">
      <c r="A18" s="84" t="s">
        <v>148</v>
      </c>
      <c r="B18" s="85"/>
      <c r="C18" s="85"/>
      <c r="D18" s="85"/>
      <c r="E18" s="78" t="s">
        <v>24</v>
      </c>
      <c r="F18" s="79"/>
    </row>
    <row r="19" spans="1:6" ht="14.1" customHeight="1">
      <c r="A19" s="1"/>
      <c r="B19" s="1"/>
      <c r="C19" s="1"/>
      <c r="F19" s="2"/>
    </row>
    <row r="24" spans="1:6" ht="28.8">
      <c r="B24" s="7"/>
    </row>
  </sheetData>
  <mergeCells count="4">
    <mergeCell ref="A4:B4"/>
    <mergeCell ref="A2:F2"/>
    <mergeCell ref="A18:D18"/>
    <mergeCell ref="E18:F18"/>
  </mergeCells>
  <hyperlinks>
    <hyperlink ref="E18" location="'Content'!A1" display="العودة للقائمة الرئيسية" xr:uid="{35448F15-9283-417C-94CC-CAE1AE937AF5}"/>
  </hyperlinks>
  <pageMargins left="0.7" right="0.7" top="0.75" bottom="0.75" header="0.3" footer="0.3"/>
  <pageSetup scale="9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DE715-A0A4-49F6-A098-A0E0D6E74686}">
  <sheetPr>
    <tabColor theme="3"/>
  </sheetPr>
  <dimension ref="A1:F26"/>
  <sheetViews>
    <sheetView showGridLines="0" view="pageBreakPreview" zoomScaleNormal="100" zoomScaleSheetLayoutView="100" workbookViewId="0">
      <selection activeCell="A4" sqref="A4:F17"/>
    </sheetView>
  </sheetViews>
  <sheetFormatPr defaultColWidth="8.77734375" defaultRowHeight="14.4"/>
  <cols>
    <col min="1" max="1" width="7.44140625" customWidth="1"/>
    <col min="2" max="2" width="28.109375" customWidth="1"/>
    <col min="3" max="6" width="14.44140625" customWidth="1"/>
  </cols>
  <sheetData>
    <row r="1" spans="1:6" ht="39.6" customHeight="1"/>
    <row r="2" spans="1:6" ht="46.05" customHeight="1">
      <c r="A2" s="95" t="s">
        <v>99</v>
      </c>
      <c r="B2" s="95"/>
      <c r="C2" s="95"/>
      <c r="D2" s="95"/>
      <c r="E2" s="95"/>
      <c r="F2" s="95"/>
    </row>
    <row r="3" spans="1:6">
      <c r="A3" s="14" t="s">
        <v>102</v>
      </c>
      <c r="F3" s="46" t="s">
        <v>36</v>
      </c>
    </row>
    <row r="4" spans="1:6" ht="35.1" customHeight="1">
      <c r="A4" s="91" t="s">
        <v>71</v>
      </c>
      <c r="B4" s="92"/>
      <c r="C4" s="15" t="s">
        <v>93</v>
      </c>
      <c r="D4" s="15" t="s">
        <v>94</v>
      </c>
      <c r="E4" s="15" t="s">
        <v>95</v>
      </c>
      <c r="F4" s="15" t="s">
        <v>96</v>
      </c>
    </row>
    <row r="5" spans="1:6" ht="16.05" customHeight="1">
      <c r="A5" s="17">
        <v>1</v>
      </c>
      <c r="B5" s="36" t="s">
        <v>73</v>
      </c>
      <c r="C5" s="25">
        <v>221.56923371911773</v>
      </c>
      <c r="D5" s="25">
        <v>255.32843825473557</v>
      </c>
      <c r="E5" s="25">
        <v>232.95467318895285</v>
      </c>
      <c r="F5" s="25">
        <v>237.18554356388083</v>
      </c>
    </row>
    <row r="6" spans="1:6" ht="16.05" customHeight="1">
      <c r="A6" s="18">
        <v>2</v>
      </c>
      <c r="B6" s="37" t="s">
        <v>74</v>
      </c>
      <c r="C6" s="26">
        <v>166.23447709410027</v>
      </c>
      <c r="D6" s="26">
        <v>442.12680939823173</v>
      </c>
      <c r="E6" s="26">
        <v>169.49320217552997</v>
      </c>
      <c r="F6" s="26">
        <v>269.02429206440775</v>
      </c>
    </row>
    <row r="7" spans="1:6" ht="16.05" customHeight="1">
      <c r="A7" s="17">
        <v>3</v>
      </c>
      <c r="B7" s="36" t="s">
        <v>75</v>
      </c>
      <c r="C7" s="25">
        <v>222.56361495975386</v>
      </c>
      <c r="D7" s="25">
        <v>256.88480911647213</v>
      </c>
      <c r="E7" s="25">
        <v>185.68571920136674</v>
      </c>
      <c r="F7" s="25">
        <v>222.71593248379415</v>
      </c>
    </row>
    <row r="8" spans="1:6" ht="16.05" customHeight="1">
      <c r="A8" s="18">
        <v>4</v>
      </c>
      <c r="B8" s="37" t="s">
        <v>76</v>
      </c>
      <c r="C8" s="26">
        <v>205.36365491909081</v>
      </c>
      <c r="D8" s="26">
        <v>229.63680165400683</v>
      </c>
      <c r="E8" s="26">
        <v>254.35573663604146</v>
      </c>
      <c r="F8" s="26">
        <v>231.63540649262487</v>
      </c>
    </row>
    <row r="9" spans="1:6" ht="16.05" customHeight="1">
      <c r="A9" s="17">
        <v>5</v>
      </c>
      <c r="B9" s="36" t="s">
        <v>77</v>
      </c>
      <c r="C9" s="25">
        <v>116.23448758359858</v>
      </c>
      <c r="D9" s="25">
        <v>123.06964789521714</v>
      </c>
      <c r="E9" s="25">
        <v>113.89072172769571</v>
      </c>
      <c r="F9" s="25">
        <v>117.87516431649162</v>
      </c>
    </row>
    <row r="10" spans="1:6" ht="16.05" customHeight="1">
      <c r="A10" s="18">
        <v>6</v>
      </c>
      <c r="B10" s="37" t="s">
        <v>78</v>
      </c>
      <c r="C10" s="26">
        <v>151.40086969116186</v>
      </c>
      <c r="D10" s="26">
        <v>199.07765767950156</v>
      </c>
      <c r="E10" s="26">
        <v>209.78503443349516</v>
      </c>
      <c r="F10" s="26">
        <v>188.77805640791888</v>
      </c>
    </row>
    <row r="11" spans="1:6" ht="16.05" customHeight="1">
      <c r="A11" s="17">
        <v>7</v>
      </c>
      <c r="B11" s="36" t="s">
        <v>79</v>
      </c>
      <c r="C11" s="25">
        <v>134.80665057179155</v>
      </c>
      <c r="D11" s="25">
        <v>148.65840130087523</v>
      </c>
      <c r="E11" s="25">
        <v>132.82871808620305</v>
      </c>
      <c r="F11" s="25">
        <v>139.36989899775264</v>
      </c>
    </row>
    <row r="12" spans="1:6" ht="16.05" customHeight="1">
      <c r="A12" s="18">
        <v>8</v>
      </c>
      <c r="B12" s="37" t="s">
        <v>80</v>
      </c>
      <c r="C12" s="26">
        <v>136.08987699626226</v>
      </c>
      <c r="D12" s="26">
        <v>136.78566616357844</v>
      </c>
      <c r="E12" s="26">
        <v>137.12610420065255</v>
      </c>
      <c r="F12" s="26">
        <v>136.66943719095457</v>
      </c>
    </row>
    <row r="13" spans="1:6" ht="16.05" customHeight="1">
      <c r="A13" s="17">
        <v>9</v>
      </c>
      <c r="B13" s="36" t="s">
        <v>81</v>
      </c>
      <c r="C13" s="25">
        <v>179.96405331005795</v>
      </c>
      <c r="D13" s="25">
        <v>196.34663952198471</v>
      </c>
      <c r="E13" s="25">
        <v>185.44543586249992</v>
      </c>
      <c r="F13" s="25">
        <v>188.01615947497646</v>
      </c>
    </row>
    <row r="14" spans="1:6" ht="16.05" customHeight="1">
      <c r="A14" s="18">
        <v>10</v>
      </c>
      <c r="B14" s="37" t="s">
        <v>82</v>
      </c>
      <c r="C14" s="26">
        <v>125.97140297897198</v>
      </c>
      <c r="D14" s="26">
        <v>126.70393514305904</v>
      </c>
      <c r="E14" s="26">
        <v>119.61026852611428</v>
      </c>
      <c r="F14" s="26">
        <v>124.12635990360039</v>
      </c>
    </row>
    <row r="15" spans="1:6" ht="16.05" customHeight="1">
      <c r="A15" s="17">
        <v>11</v>
      </c>
      <c r="B15" s="36" t="s">
        <v>83</v>
      </c>
      <c r="C15" s="25">
        <v>95.751539874081942</v>
      </c>
      <c r="D15" s="25">
        <v>94.507046857819603</v>
      </c>
      <c r="E15" s="25">
        <v>91.750033179643978</v>
      </c>
      <c r="F15" s="25">
        <v>93.997646038006579</v>
      </c>
    </row>
    <row r="16" spans="1:6" ht="16.05" customHeight="1">
      <c r="A16" s="18">
        <v>12</v>
      </c>
      <c r="B16" s="37" t="s">
        <v>84</v>
      </c>
      <c r="C16" s="26">
        <v>157.5755792092894</v>
      </c>
      <c r="D16" s="26">
        <v>194.94302701115669</v>
      </c>
      <c r="E16" s="26">
        <v>155.97701220367523</v>
      </c>
      <c r="F16" s="26">
        <v>169.05850106257381</v>
      </c>
    </row>
    <row r="17" spans="1:6" ht="16.05" customHeight="1">
      <c r="A17" s="17">
        <v>13</v>
      </c>
      <c r="B17" s="36" t="s">
        <v>85</v>
      </c>
      <c r="C17" s="25">
        <v>131.84193263342084</v>
      </c>
      <c r="D17" s="25">
        <v>132.47979723865896</v>
      </c>
      <c r="E17" s="25">
        <v>115.72056717035819</v>
      </c>
      <c r="F17" s="25">
        <v>127.46844078538199</v>
      </c>
    </row>
    <row r="18" spans="1:6" ht="15.6" customHeight="1">
      <c r="A18" s="84" t="s">
        <v>148</v>
      </c>
      <c r="B18" s="85"/>
      <c r="C18" s="85"/>
      <c r="D18" s="85"/>
      <c r="E18" s="78" t="s">
        <v>24</v>
      </c>
      <c r="F18" s="79"/>
    </row>
    <row r="19" spans="1:6" ht="16.2">
      <c r="A19" s="1"/>
      <c r="B19" s="3"/>
      <c r="C19" s="3"/>
    </row>
    <row r="20" spans="1:6" ht="14.1" customHeight="1">
      <c r="B20" s="1"/>
      <c r="C20" s="1"/>
    </row>
    <row r="26" spans="1:6" ht="28.8">
      <c r="B26" s="7"/>
    </row>
  </sheetData>
  <mergeCells count="4">
    <mergeCell ref="A4:B4"/>
    <mergeCell ref="A2:F2"/>
    <mergeCell ref="A18:D18"/>
    <mergeCell ref="E18:F18"/>
  </mergeCells>
  <hyperlinks>
    <hyperlink ref="E18" location="'Content'!A1" display="العودة للقائمة الرئيسية" xr:uid="{20CE6ED3-4EE8-4FE6-ADFD-27674D8EA1B7}"/>
  </hyperlinks>
  <pageMargins left="0.7" right="0.7" top="0.75" bottom="0.75" header="0.3" footer="0.3"/>
  <pageSetup scale="8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92E4-3063-4040-BA45-268F8394240F}">
  <sheetPr>
    <tabColor rgb="FF7030A0"/>
  </sheetPr>
  <dimension ref="A1:E14"/>
  <sheetViews>
    <sheetView topLeftCell="A10" zoomScale="102" workbookViewId="0">
      <selection activeCell="F30" sqref="F30"/>
    </sheetView>
  </sheetViews>
  <sheetFormatPr defaultColWidth="20.44140625" defaultRowHeight="14.4"/>
  <cols>
    <col min="1" max="1" width="21.6640625" style="64" customWidth="1"/>
    <col min="2" max="16384" width="20.44140625" style="64"/>
  </cols>
  <sheetData>
    <row r="1" spans="1:5">
      <c r="A1" s="64" t="s">
        <v>165</v>
      </c>
      <c r="B1" s="64" t="s">
        <v>93</v>
      </c>
      <c r="C1" s="64" t="s">
        <v>94</v>
      </c>
      <c r="D1" s="64" t="s">
        <v>95</v>
      </c>
      <c r="E1" s="64" t="s">
        <v>163</v>
      </c>
    </row>
    <row r="2" spans="1:5">
      <c r="A2" s="64" t="s">
        <v>73</v>
      </c>
      <c r="B2" s="72">
        <v>221.56923371911773</v>
      </c>
      <c r="C2" s="72">
        <v>255.32843825473557</v>
      </c>
      <c r="D2" s="72">
        <v>232.95467318895285</v>
      </c>
      <c r="E2" s="72">
        <v>237.18554356388083</v>
      </c>
    </row>
    <row r="3" spans="1:5">
      <c r="A3" s="64" t="s">
        <v>74</v>
      </c>
      <c r="B3" s="72">
        <v>166.23447709410027</v>
      </c>
      <c r="C3" s="72">
        <v>442.12680939823173</v>
      </c>
      <c r="D3" s="72">
        <v>169.49320217552997</v>
      </c>
      <c r="E3" s="72">
        <v>269.02429206440775</v>
      </c>
    </row>
    <row r="4" spans="1:5">
      <c r="A4" s="64" t="s">
        <v>75</v>
      </c>
      <c r="B4" s="72">
        <v>222.56361495975386</v>
      </c>
      <c r="C4" s="72">
        <v>256.88480911647213</v>
      </c>
      <c r="D4" s="72">
        <v>185.68571920136674</v>
      </c>
      <c r="E4" s="72">
        <v>222.71593248379415</v>
      </c>
    </row>
    <row r="5" spans="1:5">
      <c r="A5" s="64" t="s">
        <v>76</v>
      </c>
      <c r="B5" s="72">
        <v>205.36365491909081</v>
      </c>
      <c r="C5" s="72">
        <v>229.63680165400683</v>
      </c>
      <c r="D5" s="72">
        <v>254.35573663604146</v>
      </c>
      <c r="E5" s="72">
        <v>231.63540649262487</v>
      </c>
    </row>
    <row r="6" spans="1:5">
      <c r="A6" s="64" t="s">
        <v>77</v>
      </c>
      <c r="B6" s="72">
        <v>116.23448758359858</v>
      </c>
      <c r="C6" s="72">
        <v>123.06964789521714</v>
      </c>
      <c r="D6" s="72">
        <v>113.89072172769571</v>
      </c>
      <c r="E6" s="72">
        <v>117.87516431649162</v>
      </c>
    </row>
    <row r="7" spans="1:5">
      <c r="A7" s="64" t="s">
        <v>78</v>
      </c>
      <c r="B7" s="72">
        <v>151.40086969116186</v>
      </c>
      <c r="C7" s="72">
        <v>199.07765767950156</v>
      </c>
      <c r="D7" s="72">
        <v>209.78503443349516</v>
      </c>
      <c r="E7" s="72">
        <v>188.77805640791888</v>
      </c>
    </row>
    <row r="8" spans="1:5">
      <c r="A8" s="64" t="s">
        <v>79</v>
      </c>
      <c r="B8" s="72">
        <v>134.80665057179155</v>
      </c>
      <c r="C8" s="72">
        <v>148.65840130087523</v>
      </c>
      <c r="D8" s="72">
        <v>132.82871808620305</v>
      </c>
      <c r="E8" s="72">
        <v>139.36989899775264</v>
      </c>
    </row>
    <row r="9" spans="1:5">
      <c r="A9" s="64" t="s">
        <v>80</v>
      </c>
      <c r="B9" s="72">
        <v>136.08987699626226</v>
      </c>
      <c r="C9" s="72">
        <v>136.78566616357844</v>
      </c>
      <c r="D9" s="72">
        <v>137.12610420065255</v>
      </c>
      <c r="E9" s="72">
        <v>136.66943719095457</v>
      </c>
    </row>
    <row r="10" spans="1:5">
      <c r="A10" s="64" t="s">
        <v>81</v>
      </c>
      <c r="B10" s="72">
        <v>179.96405331005795</v>
      </c>
      <c r="C10" s="72">
        <v>196.34663952198471</v>
      </c>
      <c r="D10" s="72">
        <v>185.44543586249992</v>
      </c>
      <c r="E10" s="72">
        <v>188.01615947497646</v>
      </c>
    </row>
    <row r="11" spans="1:5">
      <c r="A11" s="64" t="s">
        <v>82</v>
      </c>
      <c r="B11" s="72">
        <v>125.97140297897198</v>
      </c>
      <c r="C11" s="72">
        <v>126.70393514305904</v>
      </c>
      <c r="D11" s="72">
        <v>119.61026852611428</v>
      </c>
      <c r="E11" s="72">
        <v>124.12635990360039</v>
      </c>
    </row>
    <row r="12" spans="1:5">
      <c r="A12" s="64" t="s">
        <v>83</v>
      </c>
      <c r="B12" s="72">
        <v>95.751539874081942</v>
      </c>
      <c r="C12" s="72">
        <v>94.507046857819603</v>
      </c>
      <c r="D12" s="72">
        <v>91.750033179643978</v>
      </c>
      <c r="E12" s="72">
        <v>93.997646038006579</v>
      </c>
    </row>
    <row r="13" spans="1:5">
      <c r="A13" s="64" t="s">
        <v>84</v>
      </c>
      <c r="B13" s="72">
        <v>157.5755792092894</v>
      </c>
      <c r="C13" s="72">
        <v>194.94302701115669</v>
      </c>
      <c r="D13" s="72">
        <v>155.97701220367523</v>
      </c>
      <c r="E13" s="72">
        <v>169.05850106257381</v>
      </c>
    </row>
    <row r="14" spans="1:5">
      <c r="A14" s="64" t="s">
        <v>85</v>
      </c>
      <c r="B14" s="72">
        <v>131.84193263342084</v>
      </c>
      <c r="C14" s="72">
        <v>132.47979723865896</v>
      </c>
      <c r="D14" s="72">
        <v>115.72056717035819</v>
      </c>
      <c r="E14" s="72">
        <v>127.46844078538199</v>
      </c>
    </row>
  </sheetData>
  <pageMargins left="0.7" right="0.7" top="0.75" bottom="0.75" header="0.3" footer="0.3"/>
  <drawing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5E4CE-8159-4EB7-8038-0140FEC6FDE2}">
  <sheetPr>
    <tabColor theme="3"/>
  </sheetPr>
  <dimension ref="A1:F18"/>
  <sheetViews>
    <sheetView showGridLines="0" view="pageBreakPreview" zoomScaleNormal="100" zoomScaleSheetLayoutView="100" workbookViewId="0">
      <selection activeCell="F5" sqref="F5:F17"/>
    </sheetView>
  </sheetViews>
  <sheetFormatPr defaultColWidth="8.77734375" defaultRowHeight="14.4"/>
  <cols>
    <col min="1" max="1" width="7.44140625" customWidth="1"/>
    <col min="2" max="2" width="29.77734375" customWidth="1"/>
    <col min="3" max="6" width="14.44140625" customWidth="1"/>
  </cols>
  <sheetData>
    <row r="1" spans="1:6" ht="41.55" customHeight="1"/>
    <row r="2" spans="1:6" ht="46.05" customHeight="1">
      <c r="A2" s="83" t="s">
        <v>101</v>
      </c>
      <c r="B2" s="83"/>
      <c r="C2" s="83"/>
      <c r="D2" s="83"/>
      <c r="E2" s="83"/>
      <c r="F2" s="83"/>
    </row>
    <row r="3" spans="1:6">
      <c r="A3" s="14" t="s">
        <v>103</v>
      </c>
      <c r="F3" s="46" t="s">
        <v>36</v>
      </c>
    </row>
    <row r="4" spans="1:6" ht="35.1" customHeight="1">
      <c r="A4" s="91" t="s">
        <v>71</v>
      </c>
      <c r="B4" s="92"/>
      <c r="C4" s="15" t="s">
        <v>93</v>
      </c>
      <c r="D4" s="15" t="s">
        <v>94</v>
      </c>
      <c r="E4" s="15" t="s">
        <v>95</v>
      </c>
      <c r="F4" s="15" t="s">
        <v>96</v>
      </c>
    </row>
    <row r="5" spans="1:6" ht="16.05" customHeight="1">
      <c r="A5" s="17">
        <v>1</v>
      </c>
      <c r="B5" s="36" t="s">
        <v>73</v>
      </c>
      <c r="C5" s="25">
        <v>1059.0462248323058</v>
      </c>
      <c r="D5" s="25">
        <v>1002.167380887289</v>
      </c>
      <c r="E5" s="25">
        <v>980.90838205016587</v>
      </c>
      <c r="F5" s="25">
        <v>1013.49331956228</v>
      </c>
    </row>
    <row r="6" spans="1:6" ht="16.05" customHeight="1">
      <c r="A6" s="18">
        <v>2</v>
      </c>
      <c r="B6" s="37" t="s">
        <v>74</v>
      </c>
      <c r="C6" s="26">
        <v>333.63636789155055</v>
      </c>
      <c r="D6" s="26">
        <v>330.8059410041389</v>
      </c>
      <c r="E6" s="26">
        <v>367.73634946736166</v>
      </c>
      <c r="F6" s="26">
        <v>345.17423541497277</v>
      </c>
    </row>
    <row r="7" spans="1:6" ht="16.05" customHeight="1">
      <c r="A7" s="17">
        <v>3</v>
      </c>
      <c r="B7" s="36" t="s">
        <v>75</v>
      </c>
      <c r="C7" s="25">
        <v>404.75739713911992</v>
      </c>
      <c r="D7" s="25">
        <v>446.58272318470159</v>
      </c>
      <c r="E7" s="25">
        <v>392.42848085148751</v>
      </c>
      <c r="F7" s="25">
        <v>416.68818592018744</v>
      </c>
    </row>
    <row r="8" spans="1:6" ht="16.05" customHeight="1">
      <c r="A8" s="18">
        <v>4</v>
      </c>
      <c r="B8" s="37" t="s">
        <v>76</v>
      </c>
      <c r="C8" s="26">
        <v>346.20816484643541</v>
      </c>
      <c r="D8" s="26">
        <v>398.64986044661168</v>
      </c>
      <c r="E8" s="26">
        <v>471.75251284252994</v>
      </c>
      <c r="F8" s="26">
        <v>408.16868235454854</v>
      </c>
    </row>
    <row r="9" spans="1:6" ht="16.05" customHeight="1">
      <c r="A9" s="17">
        <v>5</v>
      </c>
      <c r="B9" s="36" t="s">
        <v>77</v>
      </c>
      <c r="C9" s="25">
        <v>289.53685927389483</v>
      </c>
      <c r="D9" s="25">
        <v>282.37129567399734</v>
      </c>
      <c r="E9" s="25">
        <v>305.14706763261296</v>
      </c>
      <c r="F9" s="25">
        <v>291.86659392644361</v>
      </c>
    </row>
    <row r="10" spans="1:6" ht="16.05" customHeight="1">
      <c r="A10" s="18">
        <v>6</v>
      </c>
      <c r="B10" s="37" t="s">
        <v>78</v>
      </c>
      <c r="C10" s="26">
        <v>252.35320345403014</v>
      </c>
      <c r="D10" s="26">
        <v>343.71048495734181</v>
      </c>
      <c r="E10" s="26">
        <v>323.96182908937419</v>
      </c>
      <c r="F10" s="26">
        <v>311.24517025142143</v>
      </c>
    </row>
    <row r="11" spans="1:6" ht="16.05" customHeight="1">
      <c r="A11" s="17">
        <v>7</v>
      </c>
      <c r="B11" s="36" t="s">
        <v>79</v>
      </c>
      <c r="C11" s="25">
        <v>381.69630774623243</v>
      </c>
      <c r="D11" s="25">
        <v>419.67442345808502</v>
      </c>
      <c r="E11" s="25">
        <v>401.83384057971017</v>
      </c>
      <c r="F11" s="25">
        <v>402.24528521026423</v>
      </c>
    </row>
    <row r="12" spans="1:6" ht="16.05" customHeight="1">
      <c r="A12" s="18">
        <v>8</v>
      </c>
      <c r="B12" s="37" t="s">
        <v>80</v>
      </c>
      <c r="C12" s="26">
        <v>422.87794432361943</v>
      </c>
      <c r="D12" s="26">
        <v>511.00811990944425</v>
      </c>
      <c r="E12" s="26">
        <v>634.56937944116623</v>
      </c>
      <c r="F12" s="26">
        <v>521.0390967340694</v>
      </c>
    </row>
    <row r="13" spans="1:6" ht="16.05" customHeight="1">
      <c r="A13" s="17">
        <v>9</v>
      </c>
      <c r="B13" s="36" t="s">
        <v>81</v>
      </c>
      <c r="C13" s="25">
        <v>379.88279203448957</v>
      </c>
      <c r="D13" s="25">
        <v>448.52449890063133</v>
      </c>
      <c r="E13" s="25">
        <v>392.05853259251921</v>
      </c>
      <c r="F13" s="25">
        <v>412.03192865566024</v>
      </c>
    </row>
    <row r="14" spans="1:6" ht="16.05" customHeight="1">
      <c r="A14" s="18">
        <v>10</v>
      </c>
      <c r="B14" s="37" t="s">
        <v>82</v>
      </c>
      <c r="C14" s="26">
        <v>275.50295484630095</v>
      </c>
      <c r="D14" s="26">
        <v>271.89881184261782</v>
      </c>
      <c r="E14" s="26">
        <v>266.66768825003305</v>
      </c>
      <c r="F14" s="26">
        <v>271.21217316487775</v>
      </c>
    </row>
    <row r="15" spans="1:6" ht="16.05" customHeight="1">
      <c r="A15" s="17">
        <v>11</v>
      </c>
      <c r="B15" s="36" t="s">
        <v>83</v>
      </c>
      <c r="C15" s="25">
        <v>223.25987381309346</v>
      </c>
      <c r="D15" s="25">
        <v>262.15741221562814</v>
      </c>
      <c r="E15" s="25">
        <v>222.71673276277718</v>
      </c>
      <c r="F15" s="25">
        <v>235.97503669837619</v>
      </c>
    </row>
    <row r="16" spans="1:6" ht="16.05" customHeight="1">
      <c r="A16" s="18">
        <v>12</v>
      </c>
      <c r="B16" s="37" t="s">
        <v>84</v>
      </c>
      <c r="C16" s="26">
        <v>182.16420926654135</v>
      </c>
      <c r="D16" s="26">
        <v>197.71242420027821</v>
      </c>
      <c r="E16" s="26">
        <v>199.34023643023653</v>
      </c>
      <c r="F16" s="26">
        <v>193.45068259385681</v>
      </c>
    </row>
    <row r="17" spans="1:6" ht="16.05" customHeight="1">
      <c r="A17" s="17">
        <v>13</v>
      </c>
      <c r="B17" s="36" t="s">
        <v>85</v>
      </c>
      <c r="C17" s="25">
        <v>283.20360954174521</v>
      </c>
      <c r="D17" s="25">
        <v>278.51444301848039</v>
      </c>
      <c r="E17" s="25">
        <v>245.1430009587728</v>
      </c>
      <c r="F17" s="25">
        <v>269.75138771912634</v>
      </c>
    </row>
    <row r="18" spans="1:6" ht="15.6" customHeight="1">
      <c r="A18" s="84" t="s">
        <v>148</v>
      </c>
      <c r="B18" s="85"/>
      <c r="C18" s="85"/>
      <c r="D18" s="85"/>
      <c r="E18" s="78" t="s">
        <v>24</v>
      </c>
      <c r="F18" s="79"/>
    </row>
  </sheetData>
  <mergeCells count="4">
    <mergeCell ref="A4:B4"/>
    <mergeCell ref="A2:F2"/>
    <mergeCell ref="A18:D18"/>
    <mergeCell ref="E18:F18"/>
  </mergeCells>
  <hyperlinks>
    <hyperlink ref="E18" location="'Content'!A1" display="العودة للقائمة الرئيسية" xr:uid="{F2D33B4A-372A-4698-8237-C1CBB8BC7CA5}"/>
  </hyperlinks>
  <pageMargins left="0.7" right="0.7" top="0.75" bottom="0.75" header="0.3" footer="0.3"/>
  <pageSetup scale="87"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8FE70-E384-4713-B624-43A36CB90C66}">
  <dimension ref="A1:H14"/>
  <sheetViews>
    <sheetView tabSelected="1" topLeftCell="C1" zoomScale="112" workbookViewId="0">
      <selection activeCell="H20" sqref="H20"/>
    </sheetView>
  </sheetViews>
  <sheetFormatPr defaultColWidth="24.77734375" defaultRowHeight="14.4"/>
  <cols>
    <col min="1" max="16384" width="24.77734375" style="64"/>
  </cols>
  <sheetData>
    <row r="1" spans="1:8">
      <c r="A1" s="64" t="s">
        <v>164</v>
      </c>
      <c r="B1" s="64" t="s">
        <v>93</v>
      </c>
      <c r="C1" s="64" t="s">
        <v>94</v>
      </c>
      <c r="D1" s="64" t="s">
        <v>95</v>
      </c>
      <c r="E1" s="64" t="s">
        <v>163</v>
      </c>
      <c r="F1" s="64" t="s">
        <v>170</v>
      </c>
      <c r="G1" s="64" t="s">
        <v>171</v>
      </c>
      <c r="H1" s="64" t="s">
        <v>172</v>
      </c>
    </row>
    <row r="2" spans="1:8">
      <c r="A2" s="64" t="s">
        <v>73</v>
      </c>
      <c r="B2" s="72">
        <v>1059.0462248323058</v>
      </c>
      <c r="C2" s="72">
        <v>1002.167380887289</v>
      </c>
      <c r="D2" s="72">
        <v>980.90838205016587</v>
      </c>
      <c r="E2" s="72">
        <v>1013.49331956228</v>
      </c>
      <c r="F2" s="64" t="s">
        <v>73</v>
      </c>
      <c r="G2" s="64">
        <v>24.7136</v>
      </c>
      <c r="H2" s="64">
        <v>46.6753</v>
      </c>
    </row>
    <row r="3" spans="1:8">
      <c r="A3" s="64" t="s">
        <v>74</v>
      </c>
      <c r="B3" s="72">
        <v>333.63636789155055</v>
      </c>
      <c r="C3" s="72">
        <v>330.8059410041389</v>
      </c>
      <c r="D3" s="72">
        <v>367.73634946736166</v>
      </c>
      <c r="E3" s="72">
        <v>345.17423541497277</v>
      </c>
      <c r="F3" s="64" t="s">
        <v>74</v>
      </c>
      <c r="G3" s="64">
        <v>21.389099999999999</v>
      </c>
      <c r="H3" s="64">
        <v>39.857900000000001</v>
      </c>
    </row>
    <row r="4" spans="1:8">
      <c r="A4" s="64" t="s">
        <v>75</v>
      </c>
      <c r="B4" s="72">
        <v>404.75739713911992</v>
      </c>
      <c r="C4" s="72">
        <v>446.58272318470159</v>
      </c>
      <c r="D4" s="72">
        <v>392.42848085148751</v>
      </c>
      <c r="E4" s="72">
        <v>416.68818592018744</v>
      </c>
      <c r="F4" s="64" t="s">
        <v>75</v>
      </c>
      <c r="G4" s="64">
        <v>26.4207</v>
      </c>
      <c r="H4" s="64">
        <v>50.088799999999999</v>
      </c>
    </row>
    <row r="5" spans="1:8">
      <c r="A5" s="64" t="s">
        <v>76</v>
      </c>
      <c r="B5" s="72">
        <v>346.20816484643541</v>
      </c>
      <c r="C5" s="72">
        <v>398.64986044661168</v>
      </c>
      <c r="D5" s="72">
        <v>471.75251284252994</v>
      </c>
      <c r="E5" s="72">
        <v>408.16868235454854</v>
      </c>
      <c r="F5" s="64" t="s">
        <v>76</v>
      </c>
      <c r="G5" s="64">
        <v>24.524699999999999</v>
      </c>
      <c r="H5" s="64">
        <v>39.569200000000002</v>
      </c>
    </row>
    <row r="6" spans="1:8">
      <c r="A6" s="64" t="s">
        <v>77</v>
      </c>
      <c r="B6" s="72">
        <v>289.53685927389483</v>
      </c>
      <c r="C6" s="72">
        <v>282.37129567399734</v>
      </c>
      <c r="D6" s="72">
        <v>305.14706763261296</v>
      </c>
      <c r="E6" s="72">
        <v>291.86659392644361</v>
      </c>
      <c r="F6" s="64" t="s">
        <v>77</v>
      </c>
      <c r="G6" s="64">
        <v>18.2164</v>
      </c>
      <c r="H6" s="64">
        <v>42.505299999999998</v>
      </c>
    </row>
    <row r="7" spans="1:8">
      <c r="A7" s="64" t="s">
        <v>78</v>
      </c>
      <c r="B7" s="72">
        <v>252.35320345403014</v>
      </c>
      <c r="C7" s="72">
        <v>343.71048495734181</v>
      </c>
      <c r="D7" s="72">
        <v>323.96182908937419</v>
      </c>
      <c r="E7" s="72">
        <v>311.24517025142143</v>
      </c>
      <c r="F7" s="64" t="s">
        <v>78</v>
      </c>
      <c r="G7" s="64">
        <v>16.888999999999999</v>
      </c>
      <c r="H7" s="64">
        <v>42.570599999999999</v>
      </c>
    </row>
    <row r="8" spans="1:8">
      <c r="A8" s="64" t="s">
        <v>79</v>
      </c>
      <c r="B8" s="72">
        <v>381.69630774623243</v>
      </c>
      <c r="C8" s="72">
        <v>419.67442345808502</v>
      </c>
      <c r="D8" s="72">
        <v>401.83384057971017</v>
      </c>
      <c r="E8" s="72">
        <v>402.24528521026423</v>
      </c>
      <c r="F8" s="64" t="s">
        <v>79</v>
      </c>
      <c r="G8" s="64">
        <v>26.207000000000001</v>
      </c>
      <c r="H8" s="64">
        <v>43.484999999999999</v>
      </c>
    </row>
    <row r="9" spans="1:8">
      <c r="A9" s="64" t="s">
        <v>80</v>
      </c>
      <c r="B9" s="72">
        <v>422.87794432361943</v>
      </c>
      <c r="C9" s="72">
        <v>511.00811990944425</v>
      </c>
      <c r="D9" s="72">
        <v>634.56937944116623</v>
      </c>
      <c r="E9" s="72">
        <v>521.0390967340694</v>
      </c>
      <c r="F9" s="64" t="s">
        <v>80</v>
      </c>
      <c r="G9" s="64">
        <v>28.383800000000001</v>
      </c>
      <c r="H9" s="64">
        <v>36.555</v>
      </c>
    </row>
    <row r="10" spans="1:8">
      <c r="A10" s="64" t="s">
        <v>81</v>
      </c>
      <c r="B10" s="72">
        <v>379.88279203448957</v>
      </c>
      <c r="C10" s="72">
        <v>448.52449890063133</v>
      </c>
      <c r="D10" s="72">
        <v>392.05853259251921</v>
      </c>
      <c r="E10" s="72">
        <v>412.03192865566024</v>
      </c>
      <c r="F10" s="64" t="s">
        <v>81</v>
      </c>
      <c r="G10" s="64">
        <v>27.521899999999999</v>
      </c>
      <c r="H10" s="64">
        <v>41.690600000000003</v>
      </c>
    </row>
    <row r="11" spans="1:8">
      <c r="A11" s="64" t="s">
        <v>82</v>
      </c>
      <c r="B11" s="72">
        <v>275.50295484630095</v>
      </c>
      <c r="C11" s="72">
        <v>271.89881184261782</v>
      </c>
      <c r="D11" s="72">
        <v>266.66768825003305</v>
      </c>
      <c r="E11" s="72">
        <v>271.21217316487775</v>
      </c>
      <c r="F11" s="64" t="s">
        <v>82</v>
      </c>
      <c r="G11" s="64">
        <v>29.972899999999999</v>
      </c>
      <c r="H11" s="64">
        <v>39.145899999999997</v>
      </c>
    </row>
    <row r="12" spans="1:8">
      <c r="A12" s="64" t="s">
        <v>83</v>
      </c>
      <c r="B12" s="72">
        <v>223.25987381309346</v>
      </c>
      <c r="C12" s="72">
        <v>262.15741221562814</v>
      </c>
      <c r="D12" s="72">
        <v>222.71673276277718</v>
      </c>
      <c r="E12" s="72">
        <v>235.97503669837619</v>
      </c>
      <c r="F12" s="64" t="s">
        <v>83</v>
      </c>
      <c r="G12" s="64">
        <v>17.565000000000001</v>
      </c>
      <c r="H12" s="64">
        <v>44.228900000000003</v>
      </c>
    </row>
    <row r="13" spans="1:8">
      <c r="A13" s="64" t="s">
        <v>84</v>
      </c>
      <c r="B13" s="72">
        <v>182.16420926654135</v>
      </c>
      <c r="C13" s="72">
        <v>197.71242420027821</v>
      </c>
      <c r="D13" s="72">
        <v>199.34023643023653</v>
      </c>
      <c r="E13" s="72">
        <v>193.45068259385681</v>
      </c>
      <c r="F13" s="64" t="s">
        <v>84</v>
      </c>
      <c r="G13" s="64">
        <v>30.0444</v>
      </c>
      <c r="H13" s="64">
        <v>41.120800000000003</v>
      </c>
    </row>
    <row r="14" spans="1:8">
      <c r="A14" s="64" t="s">
        <v>85</v>
      </c>
      <c r="B14" s="72">
        <v>283.20360954174521</v>
      </c>
      <c r="C14" s="72">
        <v>278.51444301848039</v>
      </c>
      <c r="D14" s="72">
        <v>245.1430009587728</v>
      </c>
      <c r="E14" s="72">
        <v>269.75138771912634</v>
      </c>
      <c r="F14" s="64" t="s">
        <v>85</v>
      </c>
      <c r="G14" s="64">
        <v>20.012899999999998</v>
      </c>
      <c r="H14" s="64">
        <v>41.467700000000001</v>
      </c>
    </row>
  </sheetData>
  <pageMargins left="0.7" right="0.7" top="0.75" bottom="0.75" header="0.3" footer="0.3"/>
  <drawing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4DB89-25D1-4E6D-8E54-AE25973EB135}">
  <sheetPr>
    <tabColor theme="3"/>
  </sheetPr>
  <dimension ref="A1:G18"/>
  <sheetViews>
    <sheetView showGridLines="0" view="pageBreakPreview" zoomScaleNormal="100" zoomScaleSheetLayoutView="100" workbookViewId="0">
      <selection activeCell="A3" sqref="A3"/>
    </sheetView>
  </sheetViews>
  <sheetFormatPr defaultColWidth="8.77734375" defaultRowHeight="14.4"/>
  <cols>
    <col min="1" max="1" width="7.44140625" customWidth="1"/>
    <col min="2" max="2" width="29.77734375" customWidth="1"/>
    <col min="3" max="6" width="14.44140625" customWidth="1"/>
  </cols>
  <sheetData>
    <row r="1" spans="1:7" ht="45" customHeight="1"/>
    <row r="2" spans="1:7" ht="46.05" customHeight="1">
      <c r="A2" s="83" t="s">
        <v>108</v>
      </c>
      <c r="B2" s="83"/>
      <c r="C2" s="83"/>
      <c r="D2" s="83"/>
      <c r="E2" s="83"/>
      <c r="F2" s="83"/>
    </row>
    <row r="3" spans="1:7">
      <c r="A3" s="14" t="s">
        <v>105</v>
      </c>
      <c r="F3" s="46" t="s">
        <v>131</v>
      </c>
    </row>
    <row r="4" spans="1:7" ht="35.1" customHeight="1">
      <c r="A4" s="91" t="s">
        <v>71</v>
      </c>
      <c r="B4" s="92"/>
      <c r="C4" s="15" t="s">
        <v>93</v>
      </c>
      <c r="D4" s="15" t="s">
        <v>94</v>
      </c>
      <c r="E4" s="15" t="s">
        <v>95</v>
      </c>
      <c r="F4" s="15" t="s">
        <v>96</v>
      </c>
    </row>
    <row r="5" spans="1:7" ht="16.05" customHeight="1">
      <c r="A5" s="17">
        <v>1</v>
      </c>
      <c r="B5" s="36" t="s">
        <v>73</v>
      </c>
      <c r="C5" s="47">
        <v>2.3338199481091699</v>
      </c>
      <c r="D5" s="47">
        <v>2.3513006360796869</v>
      </c>
      <c r="E5" s="47">
        <v>2.26290836400924</v>
      </c>
      <c r="F5" s="47">
        <v>2.3146919218966673</v>
      </c>
      <c r="G5" s="27"/>
    </row>
    <row r="6" spans="1:7" ht="16.05" customHeight="1">
      <c r="A6" s="18">
        <v>2</v>
      </c>
      <c r="B6" s="37" t="s">
        <v>74</v>
      </c>
      <c r="C6" s="48">
        <v>1.9331336585003986</v>
      </c>
      <c r="D6" s="48">
        <v>1.9577726326257887</v>
      </c>
      <c r="E6" s="48">
        <v>1.9797531816428846</v>
      </c>
      <c r="F6" s="48">
        <v>1.9576733702800229</v>
      </c>
      <c r="G6" s="27"/>
    </row>
    <row r="7" spans="1:7" ht="16.05" customHeight="1">
      <c r="A7" s="17">
        <v>3</v>
      </c>
      <c r="B7" s="36" t="s">
        <v>75</v>
      </c>
      <c r="C7" s="47">
        <v>2.2799939382635457</v>
      </c>
      <c r="D7" s="47">
        <v>2.1887873778815985</v>
      </c>
      <c r="E7" s="47">
        <v>2.1699274373942932</v>
      </c>
      <c r="F7" s="47">
        <v>2.2106780914895605</v>
      </c>
      <c r="G7" s="27"/>
    </row>
    <row r="8" spans="1:7" ht="16.05" customHeight="1">
      <c r="A8" s="18">
        <v>4</v>
      </c>
      <c r="B8" s="37" t="s">
        <v>76</v>
      </c>
      <c r="C8" s="48">
        <v>2.4016331539696028</v>
      </c>
      <c r="D8" s="48">
        <v>2.2823676680972818</v>
      </c>
      <c r="E8" s="48">
        <v>2.4222281510843464</v>
      </c>
      <c r="F8" s="48">
        <v>2.3645649549633205</v>
      </c>
      <c r="G8" s="27"/>
    </row>
    <row r="9" spans="1:7" ht="16.05" customHeight="1">
      <c r="A9" s="17">
        <v>5</v>
      </c>
      <c r="B9" s="36" t="s">
        <v>77</v>
      </c>
      <c r="C9" s="47">
        <v>2.1676125923808747</v>
      </c>
      <c r="D9" s="47">
        <v>2.0891933999008567</v>
      </c>
      <c r="E9" s="47">
        <v>2.1483350523058791</v>
      </c>
      <c r="F9" s="47">
        <v>2.1333358370576234</v>
      </c>
      <c r="G9" s="27"/>
    </row>
    <row r="10" spans="1:7" ht="16.05" customHeight="1">
      <c r="A10" s="18">
        <v>6</v>
      </c>
      <c r="B10" s="37" t="s">
        <v>78</v>
      </c>
      <c r="C10" s="48">
        <v>1.8782026584473126</v>
      </c>
      <c r="D10" s="48">
        <v>1.8154372860255212</v>
      </c>
      <c r="E10" s="48">
        <v>1.8744837352004091</v>
      </c>
      <c r="F10" s="48">
        <v>1.8544463145595416</v>
      </c>
      <c r="G10" s="27"/>
    </row>
    <row r="11" spans="1:7" ht="16.05" customHeight="1">
      <c r="A11" s="17">
        <v>7</v>
      </c>
      <c r="B11" s="36" t="s">
        <v>79</v>
      </c>
      <c r="C11" s="47">
        <v>1.7904654393886765</v>
      </c>
      <c r="D11" s="47">
        <v>1.731577806675336</v>
      </c>
      <c r="E11" s="47">
        <v>1.8214144259120715</v>
      </c>
      <c r="F11" s="47">
        <v>1.7778428355505931</v>
      </c>
      <c r="G11" s="27"/>
    </row>
    <row r="12" spans="1:7" ht="16.05" customHeight="1">
      <c r="A12" s="18">
        <v>8</v>
      </c>
      <c r="B12" s="37" t="s">
        <v>80</v>
      </c>
      <c r="C12" s="48">
        <v>2.3278102052344192</v>
      </c>
      <c r="D12" s="48">
        <v>2.2767224269917778</v>
      </c>
      <c r="E12" s="48">
        <v>2.2099019607843138</v>
      </c>
      <c r="F12" s="48">
        <v>2.27229882495303</v>
      </c>
      <c r="G12" s="27"/>
    </row>
    <row r="13" spans="1:7" ht="16.05" customHeight="1">
      <c r="A13" s="17">
        <v>9</v>
      </c>
      <c r="B13" s="36" t="s">
        <v>81</v>
      </c>
      <c r="C13" s="47">
        <v>1.8645679740489531</v>
      </c>
      <c r="D13" s="47">
        <v>1.8764699166571526</v>
      </c>
      <c r="E13" s="47">
        <v>1.8382408694553267</v>
      </c>
      <c r="F13" s="47">
        <v>1.860130468150422</v>
      </c>
      <c r="G13" s="27"/>
    </row>
    <row r="14" spans="1:7" ht="16.05" customHeight="1">
      <c r="A14" s="18">
        <v>10</v>
      </c>
      <c r="B14" s="37" t="s">
        <v>82</v>
      </c>
      <c r="C14" s="48">
        <v>1.9979576206280316</v>
      </c>
      <c r="D14" s="48">
        <v>2.1774798927613941</v>
      </c>
      <c r="E14" s="48">
        <v>1.9860992561882698</v>
      </c>
      <c r="F14" s="48">
        <v>2.0601340694006307</v>
      </c>
      <c r="G14" s="27"/>
    </row>
    <row r="15" spans="1:7" ht="16.05" customHeight="1">
      <c r="A15" s="17">
        <v>11</v>
      </c>
      <c r="B15" s="36" t="s">
        <v>83</v>
      </c>
      <c r="C15" s="47">
        <v>2.3240445859872612</v>
      </c>
      <c r="D15" s="47">
        <v>2.2490144546649145</v>
      </c>
      <c r="E15" s="47">
        <v>2.2200915232076706</v>
      </c>
      <c r="F15" s="47">
        <v>2.2635598848793448</v>
      </c>
      <c r="G15" s="27"/>
    </row>
    <row r="16" spans="1:7" ht="16.05" customHeight="1">
      <c r="A16" s="18">
        <v>12</v>
      </c>
      <c r="B16" s="37" t="s">
        <v>84</v>
      </c>
      <c r="C16" s="48">
        <v>2.1630534351145037</v>
      </c>
      <c r="D16" s="48">
        <v>1.8331485587583149</v>
      </c>
      <c r="E16" s="48">
        <v>2.0046758104738154</v>
      </c>
      <c r="F16" s="48">
        <v>1.9947477950649093</v>
      </c>
      <c r="G16" s="27"/>
    </row>
    <row r="17" spans="1:7" ht="16.05" customHeight="1">
      <c r="A17" s="17">
        <v>13</v>
      </c>
      <c r="B17" s="36" t="s">
        <v>85</v>
      </c>
      <c r="C17" s="47">
        <v>1.8489461358313817</v>
      </c>
      <c r="D17" s="47">
        <v>1.8750644440625537</v>
      </c>
      <c r="E17" s="47">
        <v>2.1835515736273834</v>
      </c>
      <c r="F17" s="47">
        <v>1.9541056485355648</v>
      </c>
      <c r="G17" s="27"/>
    </row>
    <row r="18" spans="1:7" ht="15.6" customHeight="1">
      <c r="A18" s="84" t="s">
        <v>148</v>
      </c>
      <c r="B18" s="85"/>
      <c r="C18" s="85"/>
      <c r="D18" s="85"/>
      <c r="E18" s="78" t="s">
        <v>24</v>
      </c>
      <c r="F18" s="79"/>
    </row>
  </sheetData>
  <mergeCells count="4">
    <mergeCell ref="A4:B4"/>
    <mergeCell ref="A2:F2"/>
    <mergeCell ref="A18:D18"/>
    <mergeCell ref="E18:F18"/>
  </mergeCells>
  <hyperlinks>
    <hyperlink ref="E18" location="'Content'!A1" display="العودة للقائمة الرئيسية" xr:uid="{3D77F243-ACF0-4210-B35B-E74ADE4FAD60}"/>
  </hyperlinks>
  <pageMargins left="0.7" right="0.7" top="0.75" bottom="0.75" header="0.3" footer="0.3"/>
  <pageSetup scale="87"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D7E0E-2986-4314-B800-CDF9CAEFE783}">
  <sheetPr>
    <tabColor theme="3"/>
  </sheetPr>
  <dimension ref="A1:G18"/>
  <sheetViews>
    <sheetView showGridLines="0" view="pageBreakPreview" zoomScaleNormal="100" zoomScaleSheetLayoutView="100" workbookViewId="0">
      <selection activeCell="A3" sqref="A3"/>
    </sheetView>
  </sheetViews>
  <sheetFormatPr defaultColWidth="8.77734375" defaultRowHeight="14.4"/>
  <cols>
    <col min="1" max="1" width="7.44140625" customWidth="1"/>
    <col min="2" max="2" width="29.77734375" customWidth="1"/>
    <col min="3" max="6" width="14.44140625" customWidth="1"/>
  </cols>
  <sheetData>
    <row r="1" spans="1:7" ht="39.6" customHeight="1"/>
    <row r="2" spans="1:7" ht="46.05" customHeight="1">
      <c r="A2" s="83" t="s">
        <v>104</v>
      </c>
      <c r="B2" s="83"/>
      <c r="C2" s="83"/>
      <c r="D2" s="83"/>
      <c r="E2" s="83"/>
      <c r="F2" s="83"/>
    </row>
    <row r="3" spans="1:7">
      <c r="A3" s="14" t="s">
        <v>123</v>
      </c>
      <c r="F3" s="21" t="s">
        <v>40</v>
      </c>
    </row>
    <row r="4" spans="1:7" ht="35.1" customHeight="1">
      <c r="A4" s="91" t="s">
        <v>71</v>
      </c>
      <c r="B4" s="92"/>
      <c r="C4" s="15" t="s">
        <v>93</v>
      </c>
      <c r="D4" s="15" t="s">
        <v>94</v>
      </c>
      <c r="E4" s="15" t="s">
        <v>95</v>
      </c>
      <c r="F4" s="15" t="s">
        <v>96</v>
      </c>
    </row>
    <row r="5" spans="1:7" ht="16.05" customHeight="1">
      <c r="A5" s="17">
        <v>1</v>
      </c>
      <c r="B5" s="36" t="s">
        <v>73</v>
      </c>
      <c r="C5" s="22">
        <v>2.8038065291305569</v>
      </c>
      <c r="D5" s="22">
        <v>3.0131555949148789</v>
      </c>
      <c r="E5" s="22">
        <v>2.7664449593603302</v>
      </c>
      <c r="F5" s="22">
        <v>2.8638607456760976</v>
      </c>
      <c r="G5" s="27"/>
    </row>
    <row r="6" spans="1:7" ht="16.05" customHeight="1">
      <c r="A6" s="18">
        <v>2</v>
      </c>
      <c r="B6" s="37" t="s">
        <v>74</v>
      </c>
      <c r="C6" s="23">
        <v>4.2375482449877051</v>
      </c>
      <c r="D6" s="23">
        <v>3.9278873202472866</v>
      </c>
      <c r="E6" s="23">
        <v>4.1446558817315129</v>
      </c>
      <c r="F6" s="23">
        <v>4.0960859737137456</v>
      </c>
      <c r="G6" s="27"/>
    </row>
    <row r="7" spans="1:7" ht="16.05" customHeight="1">
      <c r="A7" s="17">
        <v>3</v>
      </c>
      <c r="B7" s="36" t="s">
        <v>75</v>
      </c>
      <c r="C7" s="22">
        <v>2.2161256016006634</v>
      </c>
      <c r="D7" s="22">
        <v>2.3238231209118632</v>
      </c>
      <c r="E7" s="22">
        <v>2.1242201867945623</v>
      </c>
      <c r="F7" s="22">
        <v>2.2266326830255703</v>
      </c>
      <c r="G7" s="27"/>
    </row>
    <row r="8" spans="1:7" ht="16.05" customHeight="1">
      <c r="A8" s="18">
        <v>4</v>
      </c>
      <c r="B8" s="37" t="s">
        <v>76</v>
      </c>
      <c r="C8" s="23">
        <v>3.5090489463889543</v>
      </c>
      <c r="D8" s="23">
        <v>3.4719220264860047</v>
      </c>
      <c r="E8" s="23">
        <v>3.6194703666546784</v>
      </c>
      <c r="F8" s="23">
        <v>3.5362116849161782</v>
      </c>
      <c r="G8" s="27"/>
    </row>
    <row r="9" spans="1:7" ht="16.05" customHeight="1">
      <c r="A9" s="17">
        <v>5</v>
      </c>
      <c r="B9" s="36" t="s">
        <v>77</v>
      </c>
      <c r="C9" s="22">
        <v>1.82174688057041</v>
      </c>
      <c r="D9" s="22">
        <v>1.8855935345147179</v>
      </c>
      <c r="E9" s="22">
        <v>1.9276267148607573</v>
      </c>
      <c r="F9" s="22">
        <v>1.8783221935687595</v>
      </c>
      <c r="G9" s="27"/>
    </row>
    <row r="10" spans="1:7" ht="16.05" customHeight="1">
      <c r="A10" s="18">
        <v>6</v>
      </c>
      <c r="B10" s="37" t="s">
        <v>78</v>
      </c>
      <c r="C10" s="23">
        <v>1.6891708019849527</v>
      </c>
      <c r="D10" s="23">
        <v>1.7000324895885637</v>
      </c>
      <c r="E10" s="23">
        <v>1.7585220355490625</v>
      </c>
      <c r="F10" s="23">
        <v>1.7180292472274021</v>
      </c>
      <c r="G10" s="27"/>
    </row>
    <row r="11" spans="1:7" ht="16.05" customHeight="1">
      <c r="A11" s="17">
        <v>7</v>
      </c>
      <c r="B11" s="36" t="s">
        <v>79</v>
      </c>
      <c r="C11" s="22">
        <v>1.7790697674418605</v>
      </c>
      <c r="D11" s="22">
        <v>1.6622096577017116</v>
      </c>
      <c r="E11" s="22">
        <v>1.6416835076003866</v>
      </c>
      <c r="F11" s="22">
        <v>1.688822104863887</v>
      </c>
      <c r="G11" s="27"/>
    </row>
    <row r="12" spans="1:7" ht="16.05" customHeight="1">
      <c r="A12" s="18">
        <v>8</v>
      </c>
      <c r="B12" s="37" t="s">
        <v>80</v>
      </c>
      <c r="C12" s="23">
        <v>2.5834858355903667</v>
      </c>
      <c r="D12" s="23">
        <v>2.4550650259520617</v>
      </c>
      <c r="E12" s="23">
        <v>2.4345388454192594</v>
      </c>
      <c r="F12" s="23">
        <v>2.4852781734305576</v>
      </c>
      <c r="G12" s="27"/>
    </row>
    <row r="13" spans="1:7" ht="16.05" customHeight="1">
      <c r="A13" s="17">
        <v>9</v>
      </c>
      <c r="B13" s="36" t="s">
        <v>81</v>
      </c>
      <c r="C13" s="22">
        <v>1.6684331137209969</v>
      </c>
      <c r="D13" s="22">
        <v>1.6202125710097124</v>
      </c>
      <c r="E13" s="22">
        <v>1.6005658089721138</v>
      </c>
      <c r="F13" s="22">
        <v>1.6277499111339311</v>
      </c>
      <c r="G13" s="27"/>
    </row>
    <row r="14" spans="1:7" ht="16.05" customHeight="1">
      <c r="A14" s="18">
        <v>10</v>
      </c>
      <c r="B14" s="37" t="s">
        <v>82</v>
      </c>
      <c r="C14" s="23">
        <v>1.9806736609607951</v>
      </c>
      <c r="D14" s="23">
        <v>2.0334515965534719</v>
      </c>
      <c r="E14" s="23">
        <v>2.1265678449258836</v>
      </c>
      <c r="F14" s="23">
        <v>2.0456843625857712</v>
      </c>
      <c r="G14" s="27"/>
    </row>
    <row r="15" spans="1:7" ht="16.05" customHeight="1">
      <c r="A15" s="17">
        <v>11</v>
      </c>
      <c r="B15" s="36" t="s">
        <v>83</v>
      </c>
      <c r="C15" s="22">
        <v>3.2811306340718107</v>
      </c>
      <c r="D15" s="22">
        <v>1.5753921479735244</v>
      </c>
      <c r="E15" s="22">
        <v>1.6040010961907372</v>
      </c>
      <c r="F15" s="22">
        <v>2.1355399408284024</v>
      </c>
      <c r="G15" s="27"/>
    </row>
    <row r="16" spans="1:7" ht="16.05" customHeight="1">
      <c r="A16" s="18">
        <v>12</v>
      </c>
      <c r="B16" s="37" t="s">
        <v>84</v>
      </c>
      <c r="C16" s="23">
        <v>1.9834437086092715</v>
      </c>
      <c r="D16" s="23">
        <v>2.0716583796431705</v>
      </c>
      <c r="E16" s="23">
        <v>1.832694010032458</v>
      </c>
      <c r="F16" s="23">
        <v>1.9621489621489621</v>
      </c>
      <c r="G16" s="27"/>
    </row>
    <row r="17" spans="1:7" ht="16.05" customHeight="1">
      <c r="A17" s="17">
        <v>13</v>
      </c>
      <c r="B17" s="36" t="s">
        <v>85</v>
      </c>
      <c r="C17" s="22">
        <v>1.6989000916590284</v>
      </c>
      <c r="D17" s="22">
        <v>1.6720679012345678</v>
      </c>
      <c r="E17" s="22">
        <v>1.5467434647762517</v>
      </c>
      <c r="F17" s="22">
        <v>1.640164983643863</v>
      </c>
      <c r="G17" s="27"/>
    </row>
    <row r="18" spans="1:7" ht="15.6" customHeight="1">
      <c r="A18" s="84" t="s">
        <v>148</v>
      </c>
      <c r="B18" s="85"/>
      <c r="C18" s="85"/>
      <c r="D18" s="85"/>
      <c r="E18" s="78" t="s">
        <v>24</v>
      </c>
      <c r="F18" s="79"/>
    </row>
  </sheetData>
  <mergeCells count="4">
    <mergeCell ref="A4:B4"/>
    <mergeCell ref="A2:F2"/>
    <mergeCell ref="A18:D18"/>
    <mergeCell ref="E18:F18"/>
  </mergeCells>
  <hyperlinks>
    <hyperlink ref="E18" location="'Content'!A1" display="العودة للقائمة الرئيسية" xr:uid="{2E18B04A-3B7B-4960-95CB-C2BF9FCC4D1B}"/>
  </hyperlinks>
  <pageMargins left="0.7" right="0.7" top="0.75" bottom="0.75" header="0.3" footer="0.3"/>
  <pageSetup scale="87"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52BB-7C22-4F8C-A312-E5576AAD3C21}">
  <sheetPr>
    <tabColor theme="3"/>
  </sheetPr>
  <dimension ref="A1:H14"/>
  <sheetViews>
    <sheetView showGridLines="0" view="pageBreakPreview" zoomScaleNormal="100" zoomScaleSheetLayoutView="100" workbookViewId="0">
      <selection activeCell="A3" sqref="A3"/>
    </sheetView>
  </sheetViews>
  <sheetFormatPr defaultRowHeight="14.4"/>
  <cols>
    <col min="1" max="1" width="7.5546875" customWidth="1"/>
    <col min="2" max="2" width="33.44140625" customWidth="1"/>
    <col min="3" max="3" width="15.33203125" customWidth="1"/>
    <col min="4" max="4" width="15.88671875" customWidth="1"/>
    <col min="5" max="5" width="14.77734375" customWidth="1"/>
    <col min="6" max="8" width="14.44140625" customWidth="1"/>
  </cols>
  <sheetData>
    <row r="1" spans="1:8" ht="46.5" customHeight="1"/>
    <row r="2" spans="1:8" ht="38.549999999999997" customHeight="1">
      <c r="A2" s="83" t="s">
        <v>138</v>
      </c>
      <c r="B2" s="83"/>
      <c r="C2" s="83"/>
      <c r="D2" s="83"/>
      <c r="E2" s="83"/>
      <c r="F2" s="38"/>
      <c r="G2" s="38"/>
      <c r="H2" s="38"/>
    </row>
    <row r="3" spans="1:8">
      <c r="A3" s="14" t="s">
        <v>129</v>
      </c>
    </row>
    <row r="4" spans="1:8">
      <c r="A4" s="99" t="s">
        <v>124</v>
      </c>
      <c r="B4" s="100"/>
      <c r="C4" s="44" t="s">
        <v>93</v>
      </c>
      <c r="D4" s="44" t="s">
        <v>94</v>
      </c>
      <c r="E4" s="44" t="s">
        <v>95</v>
      </c>
    </row>
    <row r="5" spans="1:8" ht="15" thickBot="1">
      <c r="A5" s="101" t="s">
        <v>125</v>
      </c>
      <c r="B5" s="102"/>
      <c r="C5" s="102"/>
      <c r="D5" s="102"/>
      <c r="E5" s="102"/>
    </row>
    <row r="6" spans="1:8">
      <c r="A6" s="17">
        <v>1</v>
      </c>
      <c r="B6" s="36" t="s">
        <v>142</v>
      </c>
      <c r="C6" s="20">
        <v>0.56158589965566208</v>
      </c>
      <c r="D6" s="20">
        <v>0.63068423508665794</v>
      </c>
      <c r="E6" s="20">
        <v>0.61111231867267024</v>
      </c>
    </row>
    <row r="7" spans="1:8">
      <c r="A7" s="18">
        <v>2</v>
      </c>
      <c r="B7" s="37" t="s">
        <v>143</v>
      </c>
      <c r="C7" s="19">
        <v>0.51325112697739661</v>
      </c>
      <c r="D7" s="19">
        <v>0.57508128573734496</v>
      </c>
      <c r="E7" s="19">
        <v>0.58605540424393487</v>
      </c>
    </row>
    <row r="8" spans="1:8">
      <c r="A8" s="99" t="s">
        <v>126</v>
      </c>
      <c r="B8" s="100"/>
      <c r="C8" s="45">
        <v>-8.6068351623326156E-2</v>
      </c>
      <c r="D8" s="45">
        <v>-8.8162897145626237E-2</v>
      </c>
      <c r="E8" s="45">
        <v>-4.1002142590021308E-2</v>
      </c>
    </row>
    <row r="9" spans="1:8" ht="15" thickBot="1">
      <c r="A9" s="101" t="s">
        <v>127</v>
      </c>
      <c r="B9" s="102"/>
      <c r="C9" s="102"/>
      <c r="D9" s="102"/>
      <c r="E9" s="102"/>
    </row>
    <row r="10" spans="1:8">
      <c r="A10" s="17">
        <v>1</v>
      </c>
      <c r="B10" s="36" t="s">
        <v>142</v>
      </c>
      <c r="C10" s="20">
        <v>0.52646640821612112</v>
      </c>
      <c r="D10" s="20">
        <v>0.58954634885804635</v>
      </c>
      <c r="E10" s="20">
        <v>0.54590282901708587</v>
      </c>
    </row>
    <row r="11" spans="1:8">
      <c r="A11" s="18">
        <v>2</v>
      </c>
      <c r="B11" s="37" t="s">
        <v>143</v>
      </c>
      <c r="C11" s="19">
        <v>0.53192649777259104</v>
      </c>
      <c r="D11" s="19">
        <v>0.5889592230404388</v>
      </c>
      <c r="E11" s="19">
        <v>0.55561224137752585</v>
      </c>
    </row>
    <row r="12" spans="1:8" ht="14.55" customHeight="1">
      <c r="A12" s="99" t="s">
        <v>128</v>
      </c>
      <c r="B12" s="100"/>
      <c r="C12" s="45">
        <v>1.0371202172178269E-2</v>
      </c>
      <c r="D12" s="45">
        <v>-9.9589424774629504E-4</v>
      </c>
      <c r="E12" s="45">
        <v>1.778597186961289E-2</v>
      </c>
    </row>
    <row r="13" spans="1:8" ht="15.45" customHeight="1">
      <c r="A13" s="84" t="s">
        <v>148</v>
      </c>
      <c r="B13" s="85"/>
      <c r="C13" s="85"/>
      <c r="D13" s="78" t="s">
        <v>24</v>
      </c>
      <c r="E13" s="79"/>
    </row>
    <row r="14" spans="1:8" ht="16.2">
      <c r="A14" s="1"/>
      <c r="C14" s="6"/>
      <c r="D14" s="6"/>
      <c r="E14" s="6"/>
    </row>
  </sheetData>
  <mergeCells count="8">
    <mergeCell ref="A13:C13"/>
    <mergeCell ref="D13:E13"/>
    <mergeCell ref="A2:E2"/>
    <mergeCell ref="A4:B4"/>
    <mergeCell ref="A5:E5"/>
    <mergeCell ref="A8:B8"/>
    <mergeCell ref="A9:E9"/>
    <mergeCell ref="A12:B12"/>
  </mergeCells>
  <hyperlinks>
    <hyperlink ref="D13" location="'Content'!A1" display="العودة للقائمة الرئيسية" xr:uid="{392C14EE-951D-4A02-A91B-9C8EAB7F1E79}"/>
    <hyperlink ref="D13:E13" location="'Main Menu'!A1" display="Back to the main menu" xr:uid="{75DD4A9B-108C-4933-92CA-9796C1C08EBD}"/>
  </hyperlinks>
  <pageMargins left="0.7" right="0.7" top="0.75" bottom="0.75" header="0.3" footer="0.3"/>
  <pageSetup scale="95"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595A-C061-4D49-A0F2-8A1BF4F6FB04}">
  <sheetPr>
    <tabColor theme="3"/>
  </sheetPr>
  <dimension ref="A1:H15"/>
  <sheetViews>
    <sheetView showGridLines="0" view="pageBreakPreview" zoomScaleNormal="100" zoomScaleSheetLayoutView="100" workbookViewId="0">
      <selection activeCell="A3" sqref="A3"/>
    </sheetView>
  </sheetViews>
  <sheetFormatPr defaultRowHeight="14.4"/>
  <cols>
    <col min="1" max="1" width="7.5546875" customWidth="1"/>
    <col min="2" max="2" width="35.77734375" customWidth="1"/>
    <col min="3" max="3" width="15.33203125" customWidth="1"/>
    <col min="4" max="4" width="15.88671875" customWidth="1"/>
    <col min="5" max="5" width="14.77734375" customWidth="1"/>
    <col min="6" max="8" width="14.44140625" customWidth="1"/>
  </cols>
  <sheetData>
    <row r="1" spans="1:8" ht="46.5" customHeight="1"/>
    <row r="2" spans="1:8" ht="37.049999999999997" customHeight="1">
      <c r="A2" s="83" t="s">
        <v>144</v>
      </c>
      <c r="B2" s="83"/>
      <c r="C2" s="83"/>
      <c r="D2" s="83"/>
      <c r="E2" s="83"/>
      <c r="F2" s="38"/>
      <c r="G2" s="38"/>
      <c r="H2" s="38"/>
    </row>
    <row r="3" spans="1:8">
      <c r="A3" s="14" t="s">
        <v>130</v>
      </c>
      <c r="E3" s="46" t="s">
        <v>36</v>
      </c>
    </row>
    <row r="4" spans="1:8">
      <c r="A4" s="99" t="s">
        <v>124</v>
      </c>
      <c r="B4" s="100"/>
      <c r="C4" s="44" t="s">
        <v>93</v>
      </c>
      <c r="D4" s="44" t="s">
        <v>94</v>
      </c>
      <c r="E4" s="44" t="s">
        <v>95</v>
      </c>
    </row>
    <row r="5" spans="1:8" ht="15" thickBot="1">
      <c r="A5" s="101" t="s">
        <v>125</v>
      </c>
      <c r="B5" s="102"/>
      <c r="C5" s="102"/>
      <c r="D5" s="102"/>
      <c r="E5" s="102"/>
    </row>
    <row r="6" spans="1:8">
      <c r="A6" s="17">
        <v>1</v>
      </c>
      <c r="B6" s="36" t="s">
        <v>142</v>
      </c>
      <c r="C6" s="25">
        <v>443.08110578285795</v>
      </c>
      <c r="D6" s="25">
        <v>454.97454664299272</v>
      </c>
      <c r="E6" s="25">
        <v>449.51281542218794</v>
      </c>
    </row>
    <row r="7" spans="1:8">
      <c r="A7" s="18">
        <v>2</v>
      </c>
      <c r="B7" s="37" t="s">
        <v>143</v>
      </c>
      <c r="C7" s="26">
        <v>426.23414252333305</v>
      </c>
      <c r="D7" s="26">
        <v>436.38002903922057</v>
      </c>
      <c r="E7" s="26">
        <v>455.48193156843553</v>
      </c>
    </row>
    <row r="8" spans="1:8">
      <c r="A8" s="99" t="s">
        <v>126</v>
      </c>
      <c r="B8" s="100"/>
      <c r="C8" s="45">
        <v>-3.8022301198691009E-2</v>
      </c>
      <c r="D8" s="45">
        <v>-4.0869357947539875E-2</v>
      </c>
      <c r="E8" s="45">
        <v>1.327907890822049E-2</v>
      </c>
    </row>
    <row r="9" spans="1:8" ht="15" thickBot="1">
      <c r="A9" s="101" t="s">
        <v>127</v>
      </c>
      <c r="B9" s="102"/>
      <c r="C9" s="102"/>
      <c r="D9" s="102"/>
      <c r="E9" s="102"/>
    </row>
    <row r="10" spans="1:8">
      <c r="A10" s="17">
        <v>1</v>
      </c>
      <c r="B10" s="36" t="s">
        <v>142</v>
      </c>
      <c r="C10" s="25">
        <v>161.48107777905446</v>
      </c>
      <c r="D10" s="25">
        <v>186.09972325199303</v>
      </c>
      <c r="E10" s="25">
        <v>178.44980673372791</v>
      </c>
    </row>
    <row r="11" spans="1:8">
      <c r="A11" s="18">
        <v>2</v>
      </c>
      <c r="B11" s="37" t="s">
        <v>143</v>
      </c>
      <c r="C11" s="26">
        <v>190.25210301598946</v>
      </c>
      <c r="D11" s="26">
        <v>269.74475962217718</v>
      </c>
      <c r="E11" s="26">
        <v>193.29110481291704</v>
      </c>
    </row>
    <row r="12" spans="1:8" ht="14.55" customHeight="1">
      <c r="A12" s="99" t="s">
        <v>128</v>
      </c>
      <c r="B12" s="100"/>
      <c r="C12" s="45">
        <v>0.17816963840370689</v>
      </c>
      <c r="D12" s="45">
        <v>0.44946351831443881</v>
      </c>
      <c r="E12" s="45">
        <v>8.3167913436490437E-2</v>
      </c>
    </row>
    <row r="13" spans="1:8" ht="15.45" customHeight="1">
      <c r="A13" s="84" t="s">
        <v>148</v>
      </c>
      <c r="B13" s="85"/>
      <c r="C13" s="85"/>
      <c r="D13" s="78" t="s">
        <v>24</v>
      </c>
      <c r="E13" s="79"/>
    </row>
    <row r="14" spans="1:8" ht="16.2">
      <c r="A14" s="1"/>
      <c r="C14" s="6"/>
      <c r="D14" s="6"/>
      <c r="E14" s="6"/>
    </row>
    <row r="15" spans="1:8" ht="16.2">
      <c r="B15" s="1"/>
      <c r="C15" s="1"/>
    </row>
  </sheetData>
  <mergeCells count="8">
    <mergeCell ref="A13:C13"/>
    <mergeCell ref="D13:E13"/>
    <mergeCell ref="A2:E2"/>
    <mergeCell ref="A4:B4"/>
    <mergeCell ref="A5:E5"/>
    <mergeCell ref="A8:B8"/>
    <mergeCell ref="A9:E9"/>
    <mergeCell ref="A12:B12"/>
  </mergeCells>
  <hyperlinks>
    <hyperlink ref="D13" location="'Content'!A1" display="العودة للقائمة الرئيسية" xr:uid="{40FF88A4-65EE-4A82-8A4E-4DF30BE8E30A}"/>
    <hyperlink ref="D13:E13" location="'Main Menu'!A1" display="Back to the main menu" xr:uid="{CE829026-1015-48B3-948F-D33F0649E211}"/>
  </hyperlinks>
  <pageMargins left="0.7" right="0.7" top="0.75" bottom="0.75" header="0.3" footer="0.3"/>
  <pageSetup scale="93"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3B312-BAE9-442C-9ECD-57CA0020217B}">
  <sheetPr>
    <tabColor theme="3"/>
  </sheetPr>
  <dimension ref="A1:H14"/>
  <sheetViews>
    <sheetView showGridLines="0" view="pageBreakPreview" zoomScaleNormal="100" zoomScaleSheetLayoutView="100" workbookViewId="0">
      <selection activeCell="B20" sqref="B20"/>
    </sheetView>
  </sheetViews>
  <sheetFormatPr defaultRowHeight="14.4"/>
  <cols>
    <col min="1" max="1" width="7.5546875" customWidth="1"/>
    <col min="2" max="2" width="41.109375" customWidth="1"/>
    <col min="3" max="3" width="15.33203125" customWidth="1"/>
    <col min="4" max="4" width="15.88671875" customWidth="1"/>
    <col min="5" max="5" width="14.77734375" customWidth="1"/>
    <col min="6" max="8" width="14.44140625" customWidth="1"/>
  </cols>
  <sheetData>
    <row r="1" spans="1:8" ht="49.05" customHeight="1"/>
    <row r="2" spans="1:8" ht="40.049999999999997" customHeight="1">
      <c r="A2" s="83" t="s">
        <v>145</v>
      </c>
      <c r="B2" s="83"/>
      <c r="C2" s="83"/>
      <c r="D2" s="83"/>
      <c r="E2" s="83"/>
      <c r="F2" s="38"/>
      <c r="G2" s="38"/>
      <c r="H2" s="38"/>
    </row>
    <row r="3" spans="1:8">
      <c r="A3" s="14" t="s">
        <v>155</v>
      </c>
      <c r="E3" s="46" t="s">
        <v>131</v>
      </c>
    </row>
    <row r="4" spans="1:8">
      <c r="A4" s="99" t="s">
        <v>124</v>
      </c>
      <c r="B4" s="100"/>
      <c r="C4" s="44" t="s">
        <v>93</v>
      </c>
      <c r="D4" s="44" t="s">
        <v>94</v>
      </c>
      <c r="E4" s="44" t="s">
        <v>95</v>
      </c>
    </row>
    <row r="5" spans="1:8" ht="15" thickBot="1">
      <c r="A5" s="101" t="s">
        <v>125</v>
      </c>
      <c r="B5" s="102"/>
      <c r="C5" s="102"/>
      <c r="D5" s="102"/>
      <c r="E5" s="102"/>
    </row>
    <row r="6" spans="1:8">
      <c r="A6" s="17">
        <v>1</v>
      </c>
      <c r="B6" s="36" t="s">
        <v>142</v>
      </c>
      <c r="C6" s="47">
        <v>3.5974400139688516</v>
      </c>
      <c r="D6" s="47">
        <v>3.4926888580523143</v>
      </c>
      <c r="E6" s="47">
        <v>3.6987710662965925</v>
      </c>
    </row>
    <row r="7" spans="1:8">
      <c r="A7" s="18">
        <v>2</v>
      </c>
      <c r="B7" s="37" t="s">
        <v>143</v>
      </c>
      <c r="C7" s="48">
        <v>3.6926545544352671</v>
      </c>
      <c r="D7" s="48">
        <v>3.5365900821076766</v>
      </c>
      <c r="E7" s="48">
        <v>3.6911325031477</v>
      </c>
    </row>
    <row r="8" spans="1:8">
      <c r="A8" s="99" t="s">
        <v>126</v>
      </c>
      <c r="B8" s="100"/>
      <c r="C8" s="45">
        <v>2.64673045545437E-2</v>
      </c>
      <c r="D8" s="45">
        <v>1.2569463195712083E-2</v>
      </c>
      <c r="E8" s="45">
        <f>E7/E6-1</f>
        <v>-2.0651624585515949E-3</v>
      </c>
    </row>
    <row r="9" spans="1:8" ht="15" thickBot="1">
      <c r="A9" s="101" t="s">
        <v>127</v>
      </c>
      <c r="B9" s="102"/>
      <c r="C9" s="102"/>
      <c r="D9" s="102"/>
      <c r="E9" s="102"/>
    </row>
    <row r="10" spans="1:8">
      <c r="A10" s="17">
        <v>1</v>
      </c>
      <c r="B10" s="36" t="s">
        <v>142</v>
      </c>
      <c r="C10" s="47">
        <v>2.6477733306633748</v>
      </c>
      <c r="D10" s="47">
        <v>2.3253145268090596</v>
      </c>
      <c r="E10" s="47">
        <v>2.3615395648402586</v>
      </c>
    </row>
    <row r="11" spans="1:8">
      <c r="A11" s="18">
        <v>2</v>
      </c>
      <c r="B11" s="37" t="s">
        <v>143</v>
      </c>
      <c r="C11" s="48">
        <v>2.1586133649130144</v>
      </c>
      <c r="D11" s="48">
        <v>2.1313597088129965</v>
      </c>
      <c r="E11" s="48">
        <v>2.1119905983845162</v>
      </c>
    </row>
    <row r="12" spans="1:8" ht="14.55" customHeight="1">
      <c r="A12" s="99" t="s">
        <v>128</v>
      </c>
      <c r="B12" s="100"/>
      <c r="C12" s="45">
        <v>-0.18474389785767878</v>
      </c>
      <c r="D12" s="45">
        <v>-8.3410143341864321E-2</v>
      </c>
      <c r="E12" s="45">
        <v>-0.10567215140967695</v>
      </c>
    </row>
    <row r="13" spans="1:8">
      <c r="A13" s="84" t="s">
        <v>148</v>
      </c>
      <c r="B13" s="85"/>
      <c r="C13" s="85"/>
      <c r="D13" s="78" t="s">
        <v>24</v>
      </c>
      <c r="E13" s="79"/>
    </row>
    <row r="14" spans="1:8" ht="16.2">
      <c r="A14" s="1"/>
      <c r="C14" s="6"/>
      <c r="D14" s="6"/>
      <c r="E14" s="6"/>
    </row>
  </sheetData>
  <mergeCells count="8">
    <mergeCell ref="A13:C13"/>
    <mergeCell ref="D13:E13"/>
    <mergeCell ref="A2:E2"/>
    <mergeCell ref="A4:B4"/>
    <mergeCell ref="A5:E5"/>
    <mergeCell ref="A8:B8"/>
    <mergeCell ref="A9:E9"/>
    <mergeCell ref="A12:B12"/>
  </mergeCells>
  <hyperlinks>
    <hyperlink ref="D13" location="'Content'!A1" display="العودة للقائمة الرئيسية" xr:uid="{3765A40E-1D88-43F5-85A0-EA7B19365951}"/>
  </hyperlinks>
  <pageMargins left="0.7" right="0.7" top="0.75" bottom="0.75" header="0.3" footer="0.3"/>
  <pageSetup scale="8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8CDC5862E806D45A14CCA95CE24254D" ma:contentTypeVersion="4" ma:contentTypeDescription="Create a new document." ma:contentTypeScope="" ma:versionID="0ff59ceee89aded2adda24e987ee1b96">
  <xsd:schema xmlns:xsd="http://www.w3.org/2001/XMLSchema" xmlns:xs="http://www.w3.org/2001/XMLSchema" xmlns:p="http://schemas.microsoft.com/office/2006/metadata/properties" xmlns:ns2="c031eb85-fb64-4344-b89e-0c9148a8db62" targetNamespace="http://schemas.microsoft.com/office/2006/metadata/properties" ma:root="true" ma:fieldsID="7584d9ca58a9d3a82c6f906f51c0ad69" ns2:_="">
    <xsd:import namespace="c031eb85-fb64-4344-b89e-0c9148a8db6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31eb85-fb64-4344-b89e-0c9148a8d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778CD9-8C90-4242-B60F-F4B4784D880C}">
  <ds:schemaRefs>
    <ds:schemaRef ds:uri="http://schemas.microsoft.com/sharepoint/v3/contenttype/forms"/>
  </ds:schemaRefs>
</ds:datastoreItem>
</file>

<file path=customXml/itemProps2.xml><?xml version="1.0" encoding="utf-8"?>
<ds:datastoreItem xmlns:ds="http://schemas.openxmlformats.org/officeDocument/2006/customXml" ds:itemID="{7B709EC1-FE30-4667-8C15-F44B4EE343F2}">
  <ds:schemaRefs>
    <ds:schemaRef ds:uri="http://purl.org/dc/terms/"/>
    <ds:schemaRef ds:uri="http://www.w3.org/XML/1998/namespace"/>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c031eb85-fb64-4344-b89e-0c9148a8db62"/>
  </ds:schemaRefs>
</ds:datastoreItem>
</file>

<file path=customXml/itemProps3.xml><?xml version="1.0" encoding="utf-8"?>
<ds:datastoreItem xmlns:ds="http://schemas.openxmlformats.org/officeDocument/2006/customXml" ds:itemID="{F2CCE534-ABBC-453B-9AB0-24A8ADBF35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31eb85-fb64-4344-b89e-0c9148a8db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24</vt:i4>
      </vt:variant>
    </vt:vector>
  </HeadingPairs>
  <TitlesOfParts>
    <vt:vector size="58" baseType="lpstr">
      <vt:lpstr>Main Menu</vt:lpstr>
      <vt:lpstr>1.1</vt:lpstr>
      <vt:lpstr>Tourism Employment</vt:lpstr>
      <vt:lpstr>1.2</vt:lpstr>
      <vt:lpstr>1.3</vt:lpstr>
      <vt:lpstr>Room Occupancy Rates</vt:lpstr>
      <vt:lpstr>1.4</vt:lpstr>
      <vt:lpstr>1.5</vt:lpstr>
      <vt:lpstr>2.1</vt:lpstr>
      <vt:lpstr>2.2</vt:lpstr>
      <vt:lpstr>2.3</vt:lpstr>
      <vt:lpstr>Employee by Activity</vt:lpstr>
      <vt:lpstr>2.5</vt:lpstr>
      <vt:lpstr>2.4</vt:lpstr>
      <vt:lpstr>2.6</vt:lpstr>
      <vt:lpstr>2.7</vt:lpstr>
      <vt:lpstr>2.8</vt:lpstr>
      <vt:lpstr>2.9</vt:lpstr>
      <vt:lpstr>2.10</vt:lpstr>
      <vt:lpstr>2.11</vt:lpstr>
      <vt:lpstr>2.12</vt:lpstr>
      <vt:lpstr>3.1</vt:lpstr>
      <vt:lpstr> Tourism Establishments -2024</vt:lpstr>
      <vt:lpstr>3.2</vt:lpstr>
      <vt:lpstr>3.3</vt:lpstr>
      <vt:lpstr>3.4</vt:lpstr>
      <vt:lpstr>Apartment Prices by Region</vt:lpstr>
      <vt:lpstr>3.5</vt:lpstr>
      <vt:lpstr>Hotel Prices by Region</vt:lpstr>
      <vt:lpstr>3.6</vt:lpstr>
      <vt:lpstr>3.7</vt:lpstr>
      <vt:lpstr>3.8</vt:lpstr>
      <vt:lpstr>3.9</vt:lpstr>
      <vt:lpstr>3.10</vt:lpstr>
      <vt:lpstr>'1.1'!Print_Area</vt:lpstr>
      <vt:lpstr>'1.2'!Print_Area</vt:lpstr>
      <vt:lpstr>'2.1'!Print_Area</vt:lpstr>
      <vt:lpstr>'2.10'!Print_Area</vt:lpstr>
      <vt:lpstr>'2.11'!Print_Area</vt:lpstr>
      <vt:lpstr>'2.12'!Print_Area</vt:lpstr>
      <vt:lpstr>'2.2'!Print_Area</vt:lpstr>
      <vt:lpstr>'2.3'!Print_Area</vt:lpstr>
      <vt:lpstr>'2.4'!Print_Area</vt:lpstr>
      <vt:lpstr>'2.5'!Print_Area</vt:lpstr>
      <vt:lpstr>'2.6'!Print_Area</vt:lpstr>
      <vt:lpstr>'2.7'!Print_Area</vt:lpstr>
      <vt:lpstr>'2.8'!Print_Area</vt:lpstr>
      <vt:lpstr>'2.9'!Print_Area</vt:lpstr>
      <vt:lpstr>'3.1'!Print_Area</vt:lpstr>
      <vt:lpstr>'3.10'!Print_Area</vt:lpstr>
      <vt:lpstr>'3.2'!Print_Area</vt:lpstr>
      <vt:lpstr>'3.3'!Print_Area</vt:lpstr>
      <vt:lpstr>'3.4'!Print_Area</vt:lpstr>
      <vt:lpstr>'3.5'!Print_Area</vt:lpstr>
      <vt:lpstr>'3.6'!Print_Area</vt:lpstr>
      <vt:lpstr>'3.7'!Print_Area</vt:lpstr>
      <vt:lpstr>'3.8'!Print_Area</vt:lpstr>
      <vt:lpstr>'3.9'!Print_Area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Sherifa Al-Thwaqeb</dc:creator>
  <cp:keywords/>
  <dc:description/>
  <cp:lastModifiedBy>Raghad Zayyat</cp:lastModifiedBy>
  <cp:revision/>
  <dcterms:created xsi:type="dcterms:W3CDTF">2023-02-13T05:52:20Z</dcterms:created>
  <dcterms:modified xsi:type="dcterms:W3CDTF">2025-06-26T19:00:13Z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0x01010038CDC5862E806D45A14CCA95CE24254D</vt:lpwstr>
  </property>
</Properties>
</file>